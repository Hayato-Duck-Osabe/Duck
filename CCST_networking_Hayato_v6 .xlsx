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問題集①" sheetId="1" r:id="rId5"/>
    <sheet state="visible" name="問題集②" sheetId="2" r:id="rId6"/>
    <sheet state="visible" name="問題集③（余った問題）" sheetId="3" r:id="rId7"/>
    <sheet state="visible" name="スコア集計" sheetId="4" r:id="rId8"/>
  </sheets>
  <definedNames/>
  <calcPr/>
</workbook>
</file>

<file path=xl/sharedStrings.xml><?xml version="1.0" encoding="utf-8"?>
<sst xmlns="http://schemas.openxmlformats.org/spreadsheetml/2006/main" count="2129" uniqueCount="749">
  <si>
    <t>実際に出るとは限らんから気休め程度に！
Lets' Gooooo!
画像問題（コマンド問題）の資料が圧倒的に足りません</t>
  </si>
  <si>
    <t>CCST Networking 練習問題集</t>
  </si>
  <si>
    <t>「あなたの回答」セルをクリック → ドロップダウンで A〜D を選択 → 自動で結果と解説が表示されるで！</t>
  </si>
  <si>
    <t xml:space="preserve">  Q01  ／  50</t>
  </si>
  <si>
    <t>IPv6アドレス 2001:0db8:0000:0016:0000:001b:2000:0056 の最も圧縮された有効な形式はどれか？</t>
  </si>
  <si>
    <t xml:space="preserve">  A</t>
  </si>
  <si>
    <t>2001:db8::16::1b:2:56</t>
  </si>
  <si>
    <t xml:space="preserve">  B</t>
  </si>
  <si>
    <t>2001:db8::16::1b:2000:56</t>
  </si>
  <si>
    <t xml:space="preserve">  C</t>
  </si>
  <si>
    <t>2001:db8:16::1b:2:56</t>
  </si>
  <si>
    <t xml:space="preserve">  D</t>
  </si>
  <si>
    <t>2001:db8:0:16::1b:2000:56</t>
  </si>
  <si>
    <t xml:space="preserve">  あなたの回答</t>
  </si>
  <si>
    <t xml:space="preserve">  結果</t>
  </si>
  <si>
    <t xml:space="preserve">  解説</t>
  </si>
  <si>
    <t xml:space="preserve">  Q02  ／  50</t>
  </si>
  <si>
    <t xml:space="preserve">  コマンド出力（CDP情報）</t>
  </si>
  <si>
    <t>以下のコマンド出力を表示するCiscoコマンドはどれか？</t>
  </si>
  <si>
    <t>show mac-address-table</t>
  </si>
  <si>
    <t>show cdp neighbor</t>
  </si>
  <si>
    <t>show inventory</t>
  </si>
  <si>
    <t>show ip interface</t>
  </si>
  <si>
    <t xml:space="preserve">  Q03  ／  50</t>
  </si>
  <si>
    <t>UDPセグメントのヘッダーに含まれる情報はどれか？</t>
  </si>
  <si>
    <t>IPアドレス</t>
  </si>
  <si>
    <t>シーケンス番号</t>
  </si>
  <si>
    <t>ポート番号</t>
  </si>
  <si>
    <t>MACアドレス</t>
  </si>
  <si>
    <t xml:space="preserve">  Q04  ／  50</t>
  </si>
  <si>
    <t xml:space="preserve">  tracert 192.168.1.10 の出力</t>
  </si>
  <si>
    <t>以下のtracertコマンド出力から何がわかるか？</t>
  </si>
  <si>
    <t>ホップ3のルーターがパケットを転送していない</t>
  </si>
  <si>
    <t>192.168.1.10 はホップ3のFWでブロックされている</t>
  </si>
  <si>
    <t>192.168.1.10 のサーバーはネットワーク経由で到達可能</t>
  </si>
  <si>
    <t>Webサーバーへのリクエストが遅延してタイムアウト</t>
  </si>
  <si>
    <t xml:space="preserve">  Q05  ／  50</t>
  </si>
  <si>
    <t>IPアドレス 172.16.100.25、サブネットマスク 255.255.252.0 のCIDR表記はどれか？</t>
  </si>
  <si>
    <t>172.16.100.25/23</t>
  </si>
  <si>
    <t>172.16.100.25/20</t>
  </si>
  <si>
    <t>172.16.100.25/21</t>
  </si>
  <si>
    <t>172.16.100.25/22</t>
  </si>
  <si>
    <t xml:space="preserve">  Q06  ／  50</t>
  </si>
  <si>
    <t>AAAセキュリティモデルで「身元確認」を提供するコンポーネントはどれか？</t>
  </si>
  <si>
    <t>認可（Authorization）</t>
  </si>
  <si>
    <t>監査（Auditing）</t>
  </si>
  <si>
    <t>認証（Authentication）</t>
  </si>
  <si>
    <t>アカウンティング（Accounting）</t>
  </si>
  <si>
    <t xml:space="preserve">  Q07  ／  50</t>
  </si>
  <si>
    <t>1000BASE-Tケーブルでコンピューターとスイッチを接続する場合、使用するコネクターはどれか？</t>
  </si>
  <si>
    <t>Coax（同軸）</t>
  </si>
  <si>
    <t>RJ-11</t>
  </si>
  <si>
    <t>OS2 LC</t>
  </si>
  <si>
    <t>RJ-45</t>
  </si>
  <si>
    <t xml:space="preserve">  Q08  ／  50</t>
  </si>
  <si>
    <t xml:space="preserve">  クラウドサービスモデルの例</t>
  </si>
  <si>
    <t>以下の図を参照。「仮想ネットワークで繋がれた3つの仮想マシン」に該当するクラウドサービスモデルはどれか？</t>
  </si>
  <si>
    <t>IaaS</t>
  </si>
  <si>
    <t>PaaS</t>
  </si>
  <si>
    <t>SaaS</t>
  </si>
  <si>
    <t>DaaS</t>
  </si>
  <si>
    <t xml:space="preserve">  Q09  ／  50</t>
  </si>
  <si>
    <t xml:space="preserve">  帯域幅とスループットのTrue/False問題</t>
  </si>
  <si>
    <t>以下の図を参照。「Low bandwidth can increase network latency」はTrue/Falseのどちらか？</t>
  </si>
  <si>
    <t>True（正しい）</t>
  </si>
  <si>
    <t>False（間違い）</t>
  </si>
  <si>
    <t>どちらとも言えない</t>
  </si>
  <si>
    <t>条件による</t>
  </si>
  <si>
    <t xml:space="preserve">  Q10  ／  50</t>
  </si>
  <si>
    <t>外部Webページだけ表示されない（他は接続可能）。問題箇所を特定するためのコマンドはどれか？</t>
  </si>
  <si>
    <t>ping -t</t>
  </si>
  <si>
    <t>tracert</t>
  </si>
  <si>
    <t>ipconfig /all</t>
  </si>
  <si>
    <t>nslookup</t>
  </si>
  <si>
    <t xml:space="preserve">  Q11  ／  50</t>
  </si>
  <si>
    <t>Wi-Fiネットワークの仕様を定めている標準規格はどれか？</t>
  </si>
  <si>
    <t>GSM</t>
  </si>
  <si>
    <t>LTE</t>
  </si>
  <si>
    <t>IEEE 802.11</t>
  </si>
  <si>
    <t>IEEE 802.3</t>
  </si>
  <si>
    <t xml:space="preserve">  Q12  ／  50</t>
  </si>
  <si>
    <t>サポートチケットを最初に作成する際に含めるべき情報はどれか？（2つ選択）</t>
  </si>
  <si>
    <t>A: 障害の詳細な説明 と C: 障害が発生する条件の説明</t>
  </si>
  <si>
    <t>A: 障害の詳細な説明 と D: 障害解決のために取った行動</t>
  </si>
  <si>
    <t>B: 接続機器の詳細 と C: 発生条件の説明</t>
  </si>
  <si>
    <t>D: 取った行動 と E: トップダウン手順</t>
  </si>
  <si>
    <t xml:space="preserve">  Q13  ／  50</t>
  </si>
  <si>
    <t xml:space="preserve">  コマンドと引数の選択</t>
  </si>
  <si>
    <t>以下の図を参照。ホスト名 www.companypro.net に関連するIPv4アドレスを一覧表示するには？</t>
  </si>
  <si>
    <t>ipconfig / companypro</t>
  </si>
  <si>
    <t>nslookup / www.companypro.net</t>
  </si>
  <si>
    <t>tracert / domain name</t>
  </si>
  <si>
    <t>netstat / companypro</t>
  </si>
  <si>
    <t xml:space="preserve">  Q14  ／  50</t>
  </si>
  <si>
    <t xml:space="preserve">  Q15  ／  50</t>
  </si>
  <si>
    <t xml:space="preserve">  Q16  ／  50</t>
  </si>
  <si>
    <t>サポートチケット作成時に最初に含めるべき情報はどれか？（2つ選択）</t>
  </si>
  <si>
    <t>A: 障害の詳細な説明 と C: 発生条件の説明</t>
  </si>
  <si>
    <t>A: 障害の詳細な説明 と D: 解決のために取った行動</t>
  </si>
  <si>
    <t>B: 接続機器の詳細 と E: トップダウン手順</t>
  </si>
  <si>
    <t>C: 発生条件の説明 と D: 解決のために取った行動</t>
  </si>
  <si>
    <t xml:space="preserve">  Q17  ／  50</t>
  </si>
  <si>
    <t xml:space="preserve">  show running-config | section include interface の出力</t>
  </si>
  <si>
    <t>実際はこういう問題です↑</t>
  </si>
  <si>
    <t>以下のshow running-config出力を参照。「2つのインターフェースはLayer 2で通信できる」はTrue/Falseか？</t>
  </si>
  <si>
    <t>追加設定が必要</t>
  </si>
  <si>
    <t>IPアドレスがないと不可</t>
  </si>
  <si>
    <t xml:space="preserve">  Q18  ／  50</t>
  </si>
  <si>
    <t>Webサーバーへのリクエストが遅延</t>
  </si>
  <si>
    <t xml:space="preserve">  Q19  ／  50</t>
  </si>
  <si>
    <t>ホストのデフォルトゲートウェイについて正しい記述はどれか？（2つ選択）</t>
  </si>
  <si>
    <t>B: 同じLAN上の各ホストは同じデフォルトGW IPが設定される と D: デフォルトGWはルーターの同一LAN側インターフェースのIP</t>
  </si>
  <si>
    <t>A: デフォルトGWは必ずサブネットの最初のホストアドレス と D: ルーターインターフェースのIP</t>
  </si>
  <si>
    <t>C: Loopback0インターフェースのIP と D: ルーターインターフェースのIP</t>
  </si>
  <si>
    <t>B: 同じLAN上の各ホストは同じGW と E: RAメッセージで学習</t>
  </si>
  <si>
    <t xml:space="preserve">  Q20  ／  50</t>
  </si>
  <si>
    <t xml:space="preserve">  TCP/IPモデルとプロトコルの対応</t>
  </si>
  <si>
    <t>以下の図を参照。TCP/IPモデルの「Application層」に対応するプロトコルはどれか？</t>
  </si>
  <si>
    <t>TCP</t>
  </si>
  <si>
    <t>IP</t>
  </si>
  <si>
    <t>FTP</t>
  </si>
  <si>
    <t>Ethernet</t>
  </si>
  <si>
    <t xml:space="preserve">  Q21  ／  50</t>
  </si>
  <si>
    <t>ネットワーク上の全ユーザーがアクセスできるファイルを保存するために必要なデバイスはどれか？</t>
  </si>
  <si>
    <t>アクセスポイント</t>
  </si>
  <si>
    <t>サーバー</t>
  </si>
  <si>
    <t>ハブ</t>
  </si>
  <si>
    <t>スイッチ</t>
  </si>
  <si>
    <t xml:space="preserve">  Q22  ／  50</t>
  </si>
  <si>
    <t>事前共有キー（PSK）を使用してクライアントを認証するワイヤレスセキュリティオプションはどれか？</t>
  </si>
  <si>
    <t>WPA2-Personal</t>
  </si>
  <si>
    <t>802.1x</t>
  </si>
  <si>
    <t>802.1q</t>
  </si>
  <si>
    <t>WPA2-Enterprise</t>
  </si>
  <si>
    <t xml:space="preserve">  Q23  ／  50</t>
  </si>
  <si>
    <t xml:space="preserve">  ネットワークタイプの分類</t>
  </si>
  <si>
    <t>以下の図を参照。「A cell phone connects to a Bluetooth headset」のネットワークタイプはどれか？</t>
  </si>
  <si>
    <t>WAN</t>
  </si>
  <si>
    <t>MAN</t>
  </si>
  <si>
    <t>LAN</t>
  </si>
  <si>
    <t>PAN</t>
  </si>
  <si>
    <t xml:space="preserve">  Q24  ／  50</t>
  </si>
  <si>
    <t>インターネット上の別コンピューターにファイルを安全にアップロードできるプロトコルはどれか？</t>
  </si>
  <si>
    <t>SFTP</t>
  </si>
  <si>
    <t>ICMP</t>
  </si>
  <si>
    <t>NTP</t>
  </si>
  <si>
    <t>HTTP</t>
  </si>
  <si>
    <t xml:space="preserve">  Q25  ／  50</t>
  </si>
  <si>
    <t>OSIモデルで「MACアドレス」を使って通信する層はどれか？</t>
  </si>
  <si>
    <t>物理層（第1層）</t>
  </si>
  <si>
    <t>データリンク層（第2層）</t>
  </si>
  <si>
    <t>ネットワーク層（第3層）</t>
  </si>
  <si>
    <t>トランスポート層（第4層）</t>
  </si>
  <si>
    <t xml:space="preserve">  Q26  ／  50</t>
  </si>
  <si>
    <t>スイッチがフレームを送信する際に参照するテーブルはどれか？</t>
  </si>
  <si>
    <t>ルーティングテーブル</t>
  </si>
  <si>
    <t>ARPテーブル</t>
  </si>
  <si>
    <t>MACアドレステーブル</t>
  </si>
  <si>
    <t>DNSキャッシュ</t>
  </si>
  <si>
    <t xml:space="preserve">  Q27  ／  50</t>
  </si>
  <si>
    <t>DHCPサーバーがクライアントに自動割り当てする情報に含まれないのはどれか？</t>
  </si>
  <si>
    <t>デフォルトゲートウェイ</t>
  </si>
  <si>
    <t>DNSサーバーアドレス</t>
  </si>
  <si>
    <t xml:space="preserve">  Q28  ／  50</t>
  </si>
  <si>
    <t>デフォルトのHTTPS通信が使用するポート番号はどれか？</t>
  </si>
  <si>
    <t>80</t>
  </si>
  <si>
    <t>21</t>
  </si>
  <si>
    <t>443</t>
  </si>
  <si>
    <t>22</t>
  </si>
  <si>
    <t xml:space="preserve">  Q29  ／  50</t>
  </si>
  <si>
    <t>ARP（Address Resolution Protocol）の役割はどれか？</t>
  </si>
  <si>
    <t>ドメイン名をIPアドレスに変換する</t>
  </si>
  <si>
    <t>MACアドレスからIPアドレスに変換する</t>
  </si>
  <si>
    <t>IPアドレスからMACアドレスに解決する</t>
  </si>
  <si>
    <t>ポート番号からIPアドレスに変換する</t>
  </si>
  <si>
    <t xml:space="preserve">  Q30  ／  50</t>
  </si>
  <si>
    <t>VLANの主な目的はどれか？</t>
  </si>
  <si>
    <t>無線ネットワークのセキュリティを強化する</t>
  </si>
  <si>
    <t>ネットワークを論理的に分割してブロードキャストドメインを分ける</t>
  </si>
  <si>
    <t>インターネット接続速度を向上させる</t>
  </si>
  <si>
    <t>IPv6アドレスを自動割り当てする</t>
  </si>
  <si>
    <t xml:space="preserve">  Q31  ／  50</t>
  </si>
  <si>
    <t>NATの主な目的はどれか？</t>
  </si>
  <si>
    <t>データを暗号化してセキュリティを向上させる</t>
  </si>
  <si>
    <t>プライベートIPアドレスをパブリックIPアドレスに変換してインターネット接続を可能にする</t>
  </si>
  <si>
    <t>IPアドレスを自動的に割り当てる</t>
  </si>
  <si>
    <t xml:space="preserve">  Q32  ／  50</t>
  </si>
  <si>
    <t>SSH（Secure Shell）の主な用途はどれか？</t>
  </si>
  <si>
    <t>Webページの閲覧</t>
  </si>
  <si>
    <t>ファイルのダウンロード</t>
  </si>
  <si>
    <t>ネットワーク機器へのセキュアなリモートアクセス</t>
  </si>
  <si>
    <t>メールの送受信</t>
  </si>
  <si>
    <t xml:space="preserve">  Q33  ／  50</t>
  </si>
  <si>
    <t>IPv4アドレス 192.168.1.0/24 のサブネットで使用可能なホスト数はどれか？</t>
  </si>
  <si>
    <t>256</t>
  </si>
  <si>
    <t>255</t>
  </si>
  <si>
    <t>254</t>
  </si>
  <si>
    <t>253</t>
  </si>
  <si>
    <t xml:space="preserve">  Q34  ／  50</t>
  </si>
  <si>
    <t>Ciscoルーターでルーティングテーブルを確認するコマンドはどれか？</t>
  </si>
  <si>
    <t>show ip route</t>
  </si>
  <si>
    <t>show interfaces</t>
  </si>
  <si>
    <t>show arp</t>
  </si>
  <si>
    <t>show running-config</t>
  </si>
  <si>
    <t xml:space="preserve">  Q35  ／  50</t>
  </si>
  <si>
    <t>IEEE 802.3af/at で定義されているテクノロジーはどれか？</t>
  </si>
  <si>
    <t>Wi-Fi 6</t>
  </si>
  <si>
    <t>PoE（Power over Ethernet）</t>
  </si>
  <si>
    <t>VLANトランキング</t>
  </si>
  <si>
    <t>スパニングツリー</t>
  </si>
  <si>
    <t xml:space="preserve">  Q36  ／  50</t>
  </si>
  <si>
    <t>OSIモデルのデータリンク層（第2層）が持つ2つのサブ層はどれか？</t>
  </si>
  <si>
    <t>TCP と UDP</t>
  </si>
  <si>
    <t>LLC と MAC</t>
  </si>
  <si>
    <t>IP と ICMP</t>
  </si>
  <si>
    <t>HTTP と FTP</t>
  </si>
  <si>
    <t xml:space="preserve">  Q37  ／  50</t>
  </si>
  <si>
    <t>QoSの目的はどれか？</t>
  </si>
  <si>
    <t>ネットワークのセキュリティを強化する</t>
  </si>
  <si>
    <t>ネットワークトラフィックの優先順位を管理して重要なサービスの品質を保証する</t>
  </si>
  <si>
    <t>IPアドレスを自動割り当てする</t>
  </si>
  <si>
    <t>ネットワーク機器の設定を自動化する</t>
  </si>
  <si>
    <t xml:space="preserve">  Q38  ／  50</t>
  </si>
  <si>
    <t>IPv6アドレスは何ビットで構成されているか？</t>
  </si>
  <si>
    <t>32ビット</t>
  </si>
  <si>
    <t>64ビット</t>
  </si>
  <si>
    <t>128ビット</t>
  </si>
  <si>
    <t>256ビット</t>
  </si>
  <si>
    <t xml:space="preserve">  Q39  ／  50</t>
  </si>
  <si>
    <t>OSIモデルで「TCP・UDP」が動作する層はどれか？</t>
  </si>
  <si>
    <t>セッション層（第5層）</t>
  </si>
  <si>
    <t>アプリケーション層（第7層）</t>
  </si>
  <si>
    <t xml:space="preserve">  Q40  ／  50</t>
  </si>
  <si>
    <t>アクセスポイント（AP）の主な役割はどれか？</t>
  </si>
  <si>
    <t>異なるネットワーク間でパケットをルーティングする</t>
  </si>
  <si>
    <t>有線ネットワークと無線ネットワークを接続してワイヤレス通信を提供する</t>
  </si>
  <si>
    <t>MACアドレスを学習してフレームを転送する</t>
  </si>
  <si>
    <t xml:space="preserve">  Q41  ／  50</t>
  </si>
  <si>
    <t>DNS（Domain Name System）が使用するデフォルトのポート番号はどれか？</t>
  </si>
  <si>
    <t>53</t>
  </si>
  <si>
    <t>25</t>
  </si>
  <si>
    <t xml:space="preserve">  Q42  ／  50</t>
  </si>
  <si>
    <t>スパニングツリープロトコル（STP）の目的はどれか？</t>
  </si>
  <si>
    <t>ルーターの負荷分散</t>
  </si>
  <si>
    <t>スイッチネットワークでのループ防止</t>
  </si>
  <si>
    <t>ワイヤレスネットワークの干渉防止</t>
  </si>
  <si>
    <t>VLANの設定管理</t>
  </si>
  <si>
    <t xml:space="preserve">  Q43  ／  50</t>
  </si>
  <si>
    <t>ファイアウォールの主な機能はどれか？</t>
  </si>
  <si>
    <t>ネットワーク速度を向上させる</t>
  </si>
  <si>
    <t>定義されたルールに基づいてネットワークトラフィックを許可または拒否する</t>
  </si>
  <si>
    <t xml:space="preserve">  Q44  ／  50</t>
  </si>
  <si>
    <t>Windowsで自分のPCのIPアドレス・サブネットマスク・デフォルトGWを確認するコマンドはどれか？</t>
  </si>
  <si>
    <t>netstat</t>
  </si>
  <si>
    <t xml:space="preserve">  Q45  ／  50</t>
  </si>
  <si>
    <t>WPA2-PersonalとWPA2-Enterpriseの違いはどれか？</t>
  </si>
  <si>
    <t>WPA2-Personalは企業向けでRADIUSサーバーを使う</t>
  </si>
  <si>
    <t>WPA2-Personalは事前共有キー（PSK）を使い、WPA2-EnterpriseはRADIUSサーバーで認証する</t>
  </si>
  <si>
    <t>WPA2-Enterpriseの方がセキュリティが低い</t>
  </si>
  <si>
    <t>どちらも同じ認証方式を使う</t>
  </si>
  <si>
    <t xml:space="preserve">  Q46  ／  50</t>
  </si>
  <si>
    <t>CIAトライアドの「機密性（Confidentiality）」の説明として正しいのはどれか？</t>
  </si>
  <si>
    <t>データが正確で改ざんされていないことを保証する</t>
  </si>
  <si>
    <t>権限のある人だけが情報にアクセスできることを保証する</t>
  </si>
  <si>
    <t>システムが必要な時に利用可能であることを保証する</t>
  </si>
  <si>
    <t>ユーザーの身元を確認する</t>
  </si>
  <si>
    <t xml:space="preserve">  Q47  ／  50</t>
  </si>
  <si>
    <t>多要素認証（MFA）の説明として正しいのはどれか？</t>
  </si>
  <si>
    <t>パスワードだけで認証する方式</t>
  </si>
  <si>
    <t>2つ以上の異なる認証要素を組み合わせて認証する方式</t>
  </si>
  <si>
    <t>生体認証のみを使用する方式</t>
  </si>
  <si>
    <t>SSIDとパスワードの組み合わせ</t>
  </si>
  <si>
    <t xml:space="preserve">  Q48  ／  50</t>
  </si>
  <si>
    <t>Wiresharkでキャプチャしたパケットを保存する際のファイル形式はどれか？</t>
  </si>
  <si>
    <t>.csv</t>
  </si>
  <si>
    <t>.txt</t>
  </si>
  <si>
    <t>.pcap</t>
  </si>
  <si>
    <t>.log</t>
  </si>
  <si>
    <t xml:space="preserve">  Q49  ／  50</t>
  </si>
  <si>
    <t>Ciscoデバイスにコンソール経由でアクセスするために使用するケーブルはどれか？</t>
  </si>
  <si>
    <t>イーサネットパッチケーブル（RJ-45）</t>
  </si>
  <si>
    <t>ロールオーバーケーブル（コンソールケーブル）</t>
  </si>
  <si>
    <t>光ファイバーケーブル</t>
  </si>
  <si>
    <t>クロスケーブル</t>
  </si>
  <si>
    <t xml:space="preserve">  Q50  ／  50</t>
  </si>
  <si>
    <t>Layer 2スイッチとLayer 3スイッチの違いはどれか？</t>
  </si>
  <si>
    <t>Layer 3スイッチはMACアドレスを使って転送する</t>
  </si>
  <si>
    <t>Layer 3スイッチはIPアドレスを使ったルーティングもできる</t>
  </si>
  <si>
    <t>Layer 2スイッチの方が高性能</t>
  </si>
  <si>
    <t>Layer 3スイッチはWi-Fi専用</t>
  </si>
  <si>
    <t>「あなたの回答」セルをクリック → ドロップダウンで A〜D を選択 → 自動で結果と解説が表示されます</t>
  </si>
  <si>
    <t>TCP/IPモデルの4層を上から正しく並べたものはどれか？</t>
  </si>
  <si>
    <t>アプリケーション／トランスポート／インターネット／ネットワークインターフェース</t>
  </si>
  <si>
    <t>アプリケーション／セッション／トランスポート／ネットワーク</t>
  </si>
  <si>
    <t>アプリケーション／インターネット／トランスポート／物理</t>
  </si>
  <si>
    <t>セッション／プレゼンテーション／データリンク／物理</t>
  </si>
  <si>
    <t>OSIモデルでルーティング（IPアドレスを使ったパケット転送）を担当する層はどれか？</t>
  </si>
  <si>
    <t>第2層（データリンク層）</t>
  </si>
  <si>
    <t>第3層（ネットワーク層）</t>
  </si>
  <si>
    <t>第4層（トランスポート層）</t>
  </si>
  <si>
    <t>第7層（アプリケーション層）</t>
  </si>
  <si>
    <t>「フレーム」と「パケット」の説明として正しいのはどれか？</t>
  </si>
  <si>
    <t>フレームはLayer 3、パケットはLayer 2のデータ単位</t>
  </si>
  <si>
    <t>フレームはLayer 2、パケットはLayer 3のデータ単位</t>
  </si>
  <si>
    <t>フレームとパケットは同義</t>
  </si>
  <si>
    <t>パケットはLayer 1のデータ単位</t>
  </si>
  <si>
    <t>帯域幅（Bandwidth）とスループット（Throughput）の説明として正しいのはどれか？</t>
  </si>
  <si>
    <t>帯域幅は実際の転送速度、スループットは理論上の最大速度</t>
  </si>
  <si>
    <t>帯域幅は理論上の最大速度、スループットは実際の転送速度</t>
  </si>
  <si>
    <t>どちらも同じ意味で使われる</t>
  </si>
  <si>
    <t>スループットはレイテンシーと同義</t>
  </si>
  <si>
    <t>「低帯域幅はネットワーク遅延（レイテンシー）を増加させる可能性がある」という記述は正しいか？</t>
  </si>
  <si>
    <t>帯域幅とレイテンシーは無関係</t>
  </si>
  <si>
    <t>状況による</t>
  </si>
  <si>
    <t>LAN・WAN・MAN・PANの説明として正しいものはどれか？</t>
  </si>
  <si>
    <t>PANは都市規模のネットワーク</t>
  </si>
  <si>
    <t>MANはLANより狭い範囲をカバーする</t>
  </si>
  <si>
    <t>LANは建物・フロア等の小規模ネットワーク、WANは広域ネットワーク</t>
  </si>
  <si>
    <t>WANは個人周辺の超短距離ネットワーク</t>
  </si>
  <si>
    <t>「携帯電話がBluetoothヘッドセットに接続」のネットワークタイプはどれか？</t>
  </si>
  <si>
    <t>「同じ市内の3つの政府ビルがケーブル会社の同軸ケーブルで接続」のネットワークタイプはどれか？</t>
  </si>
  <si>
    <t>物理的ネットワークトポロジーのうち「スター型」の特徴はどれか？</t>
  </si>
  <si>
    <t>全デバイスが一本のケーブルに接続される</t>
  </si>
  <si>
    <t>全デバイスが中央のスイッチ/ハブに接続される</t>
  </si>
  <si>
    <t>全デバイスがリング状に接続される</t>
  </si>
  <si>
    <t>各デバイスが他の全デバイスと直接接続される</t>
  </si>
  <si>
    <t>クラウドサービスモデルで「仮想マシン・仮想ネットワークなどのインフラを提供する」のはどれか？</t>
  </si>
  <si>
    <t>「ユーザーがクラウド上のグラフィックデザインアプリに月額料金でアクセス」のクラウドモデルはどれか？</t>
  </si>
  <si>
    <t>オンプレミス</t>
  </si>
  <si>
    <t>「企業がクラウド上のリソースとツールを使ってアプリを開発」のクラウドモデルはどれか？</t>
  </si>
  <si>
    <t>ハイブリッドクラウド</t>
  </si>
  <si>
    <t>パブリッククラウドとプライベートクラウドの違いはどれか？</t>
  </si>
  <si>
    <t>パブリッククラウドは自社専用、プライベートクラウドは複数の顧客が共有</t>
  </si>
  <si>
    <t>パブリッククラウドは複数の顧客が共有するクラウド、プライベートクラウドは自社専用</t>
  </si>
  <si>
    <t>どちらも同じ構成</t>
  </si>
  <si>
    <t>プライベートクラウドはインターネットに接続できない</t>
  </si>
  <si>
    <t>TCPの「3ウェイハンドシェイク」の手順として正しいのはどれか？</t>
  </si>
  <si>
    <t>SYN → ACK → SYN-ACK</t>
  </si>
  <si>
    <t>SYN → SYN-ACK → ACK</t>
  </si>
  <si>
    <t>ACK → SYN → SYN-ACK</t>
  </si>
  <si>
    <t>SYN-ACK → SYN → ACK</t>
  </si>
  <si>
    <t>OSIモデルの第7層（アプリケーション層）で動作するプロトコルはどれか？</t>
  </si>
  <si>
    <t>OSIモデルで「エンドツーエンドの通信・ポート番号・フロー制御」を担当する層はどれか？</t>
  </si>
  <si>
    <t>第5層（セッション層）</t>
  </si>
  <si>
    <t>iPerf（アイパーフ）の用途はどれか？</t>
  </si>
  <si>
    <t>パケットキャプチャとプロトコル分析</t>
  </si>
  <si>
    <t>ネットワークの帯域幅（スループット）を実測する</t>
  </si>
  <si>
    <t>ネットワーク機器の設定をバックアップする</t>
  </si>
  <si>
    <t>ネットワークトポロジーのうち「メッシュ型」の特徴はどれか？</t>
  </si>
  <si>
    <t>全デバイスが中央のハブに接続される</t>
  </si>
  <si>
    <t>デバイスがリング状に接続される</t>
  </si>
  <si>
    <t>各デバイスが他の全デバイスと直接接続されて冗長性が高い</t>
  </si>
  <si>
    <t>一本のバスケーブルに全デバイスが接続される</t>
  </si>
  <si>
    <t>「論理的ネットワークトポロジー」の説明として正しいのはどれか？</t>
  </si>
  <si>
    <t>物理的なケーブルの配線を示す</t>
  </si>
  <si>
    <t>データが実際にどのように流れるかを示す論理的な構成</t>
  </si>
  <si>
    <t>ネットワーク機器の物理的な配置</t>
  </si>
  <si>
    <t>電力供給の経路を示す</t>
  </si>
  <si>
    <t>リモートワーク環境でオフィスネットワークにセキュアに接続するために使われる技術はどれか？</t>
  </si>
  <si>
    <t>DHCP</t>
  </si>
  <si>
    <t>VPN（Virtual Private Network）</t>
  </si>
  <si>
    <t>DNS</t>
  </si>
  <si>
    <t>SNMP</t>
  </si>
  <si>
    <t>TCPとUDPを比較した説明として正しいのはどれか？</t>
  </si>
  <si>
    <t>UDPはコネクション型で信頼性が高い</t>
  </si>
  <si>
    <t>TCPはコネクション型で順序保証・再送制御がある</t>
  </si>
  <si>
    <t>TCPはUDPより転送速度が速い</t>
  </si>
  <si>
    <t>UDPはシーケンス番号を使用する</t>
  </si>
  <si>
    <t>ICMP（Internet Control Message Protocol）の主な用途はどれか？</t>
  </si>
  <si>
    <t>ファイルの転送</t>
  </si>
  <si>
    <t>ネットワークの診断（ping・traceroute等）</t>
  </si>
  <si>
    <t>IPアドレスの自動割り当て</t>
  </si>
  <si>
    <t>ドメイン名の解決</t>
  </si>
  <si>
    <t>TFTP（Trivial File Transfer Protocol）の特徴はどれか？</t>
  </si>
  <si>
    <t>SSHを使って暗号化転送する</t>
  </si>
  <si>
    <t>認証なしのシンプルなファイル転送プロトコル</t>
  </si>
  <si>
    <t>Webブラウザでファイルを転送する</t>
  </si>
  <si>
    <t>MACアドレスでファイルを識別する</t>
  </si>
  <si>
    <t>NTPの役割はどれか？</t>
  </si>
  <si>
    <t>ネットワーク機器のIPアドレスを割り当てる</t>
  </si>
  <si>
    <t>ネットワーク上の機器の時刻を同期する</t>
  </si>
  <si>
    <t>暗号化通信を提供する</t>
  </si>
  <si>
    <t>TFTP</t>
  </si>
  <si>
    <t>DHCPサーバーの役割はどれか？</t>
  </si>
  <si>
    <t>クライアントに自動でIPアドレス等を割り当てる</t>
  </si>
  <si>
    <t>ネットワーク経路を制御する</t>
  </si>
  <si>
    <t>ファイルを暗号化して転送する</t>
  </si>
  <si>
    <t>IPv4のプライベートアドレス範囲として正しいのはどれか？</t>
  </si>
  <si>
    <t>10.0.0.0/8・172.16.0.0/12・192.168.0.0/16</t>
  </si>
  <si>
    <t>172.0.0.0/8・192.0.0.0/8・200.0.0.0/8</t>
  </si>
  <si>
    <t>10.0.0.0/8のみ</t>
  </si>
  <si>
    <t>169.254.0.0/16のみ</t>
  </si>
  <si>
    <t>/23</t>
  </si>
  <si>
    <t>/20</t>
  </si>
  <si>
    <t>/21</t>
  </si>
  <si>
    <t>/22</t>
  </si>
  <si>
    <t>252</t>
  </si>
  <si>
    <t>同軸（Coax）</t>
  </si>
  <si>
    <t>OS2 LC（光ファイバー）</t>
  </si>
  <si>
    <t>光ファイバーケーブルの利点として正しいのはどれか？</t>
  </si>
  <si>
    <t>銅線より安価で設置が簡単</t>
  </si>
  <si>
    <t>電磁干渉（EMI）の影響を受けず長距離伝送が可能</t>
  </si>
  <si>
    <t>PoEで電力を供給できる</t>
  </si>
  <si>
    <t>RJ-45コネクターを使用する</t>
  </si>
  <si>
    <t>Wi-Fiの2.4GHzと5GHzを比較した説明として正しいのはどれか？</t>
  </si>
  <si>
    <t>5GHzの方が2.4GHzより通信距離が長い</t>
  </si>
  <si>
    <t>2.4GHzの方が速度は遅いが通信距離が長い</t>
  </si>
  <si>
    <t>2.4GHzの方が干渉を受けにくい</t>
  </si>
  <si>
    <t>5GHzと2.4GHzは速度が同じ</t>
  </si>
  <si>
    <t>Windowsで自分のPCのIPアドレス・サブネットマスク・デフォルトゲートウェイを確認するコマンドはどれか？</t>
  </si>
  <si>
    <t>tracert 192.168.1.10を実行し、ホップ3でタイムアウト（*）が表示されたがホップ4・5は応答した。何がわかるか？</t>
  </si>
  <si>
    <t>Webサーバーへのリクエストがタイムアウト</t>
  </si>
  <si>
    <t>CDP（Cisco Discovery Protocol）の情報を表示するCiscoコマンドはどれか？</t>
  </si>
  <si>
    <t>show mac address-table</t>
  </si>
  <si>
    <t>show cdp neighbors</t>
  </si>
  <si>
    <t>show ip interface brief</t>
  </si>
  <si>
    <t>スイッチが参照する「MACアドレステーブル」の説明として正しいのはどれか？</t>
  </si>
  <si>
    <t>IPアドレスとMACアドレスの対応テーブル</t>
  </si>
  <si>
    <t>どのポートにどのMACアドレスのデバイスが繋がっているかのテーブル</t>
  </si>
  <si>
    <t>ルーティング先を示すテーブル</t>
  </si>
  <si>
    <t>DNS名前解決のテーブル</t>
  </si>
  <si>
    <t>無線ネットワークのセキュリティ強化</t>
  </si>
  <si>
    <t>ネットワークを論理的に分割しブロードキャストドメインを分ける</t>
  </si>
  <si>
    <t>インターネット速度の向上</t>
  </si>
  <si>
    <t>IPv6アドレスの自動割り当て</t>
  </si>
  <si>
    <t>AAAセキュリティモデルで「身元確認（本人確認）」を担当するコンポーネントはどれか？</t>
  </si>
  <si>
    <t>CIAトライアドの3要素として正しいのはどれか？</t>
  </si>
  <si>
    <t>機密性・完全性・可用性（Confidentiality・Integrity・Availability）</t>
  </si>
  <si>
    <t>認証・認可・アカウンティング（Authentication・Authorization・Accounting）</t>
  </si>
  <si>
    <t>機密性・認証・可用性</t>
  </si>
  <si>
    <t>暗号化・完全性・認可</t>
  </si>
  <si>
    <t>フィッシング（Phishing）攻撃の説明として正しいのはどれか？</t>
  </si>
  <si>
    <t>ネットワークの帯域幅を大量のトラフィックで消費させる攻撃</t>
  </si>
  <si>
    <t>正規の組織を装ったメールや偽サイトで個人情報を騙し取る攻撃</t>
  </si>
  <si>
    <t>マルウェアをネットワーク経由で拡散させる攻撃</t>
  </si>
  <si>
    <t>パスワードを総当たりで解読する攻撃</t>
  </si>
  <si>
    <t>定義されたルール（許可/拒否）に基づいてネットワークトラフィックをフィルタリングする</t>
  </si>
  <si>
    <t>ネットワークトラフィックをIPアドレス・ポート番号・アプリケーションに基づいて許可または拒否するデバイスはどれか？</t>
  </si>
  <si>
    <t>ファイアウォール</t>
  </si>
  <si>
    <t>VPNゲートウェイ</t>
  </si>
  <si>
    <t>侵入検知システム（IDS）</t>
  </si>
  <si>
    <t>VLAN2のコンピューターからVLAN2外のアドレスにpingが届かない場合、エンジニアが設定すべきものはどれか？</t>
  </si>
  <si>
    <t>追加のVLAN</t>
  </si>
  <si>
    <t>デフォルトルート</t>
  </si>
  <si>
    <t>スタティックルート</t>
  </si>
  <si>
    <t>Layer 2スイッチのmanagement VLANインターフェースにIPアドレスを割り当てる目的はどれか？</t>
  </si>
  <si>
    <t>TelnetまたはSSHでスイッチのCLIにアクセスできるようにするため</t>
  </si>
  <si>
    <t>スイッチがDHCPサービスを提供できるようにするため</t>
  </si>
  <si>
    <t>スイッチがデフォルトゲートウェイとして機能できるようにするため</t>
  </si>
  <si>
    <t>スイッチがURLを解決できるようにするため</t>
  </si>
  <si>
    <t>4つのトラブルチケットのうち最優先で対応すべきはどれか？
A: プリンターを別のネットワークジャックに移設
B: 会議室でオンラインウェビナー中、ビデオ会議機器がインターネット接続不可
C: クラウドアプリのレスポンスが通常より遅い
D: カフェテリアの無線アクセスが1時間前から停止</t>
  </si>
  <si>
    <t>A: プリンターの移設</t>
  </si>
  <si>
    <t>B: ウェビナー中の接続不可</t>
  </si>
  <si>
    <t>C: クラウドアプリの遅延</t>
  </si>
  <si>
    <t>D: カフェテリアのWi-Fi停止</t>
  </si>
  <si>
    <t>/27（CIDR表記）を表すサブネットマスクはどれか？</t>
  </si>
  <si>
    <t>255.255.255.248</t>
  </si>
  <si>
    <t>255.255.255.240</t>
  </si>
  <si>
    <t>255.255.255.224</t>
  </si>
  <si>
    <t>255.255.255.192</t>
  </si>
  <si>
    <t>TCP/IPモデルのデータリンク層に関連するプロトコルはどれか？</t>
  </si>
  <si>
    <t>UDP</t>
  </si>
  <si>
    <t>TCPの特徴として正しいのはどれか？</t>
  </si>
  <si>
    <t>フロー制御がある</t>
  </si>
  <si>
    <t>UDPより転送が速い</t>
  </si>
  <si>
    <t>ベストエフォート配信</t>
  </si>
  <si>
    <t>コネクションレス</t>
  </si>
  <si>
    <t>UDP通信が推奨されるトラフィックタイプはどれか？</t>
  </si>
  <si>
    <t>音声（VoIP）通話</t>
  </si>
  <si>
    <t>FTPファイル転送</t>
  </si>
  <si>
    <t>SSH接続</t>
  </si>
  <si>
    <t>HTTPS通信</t>
  </si>
  <si>
    <t>ワイヤレスSSIDの説明として正しいのはどれか？</t>
  </si>
  <si>
    <t>サブネットの識別子</t>
  </si>
  <si>
    <t>VLANの識別子</t>
  </si>
  <si>
    <t>無線ネットワークの名前（識別子）</t>
  </si>
  <si>
    <t>ユーザー認証情報</t>
  </si>
  <si>
    <t>データのスループットを測定するパフォーマンステストツールはどれか？</t>
  </si>
  <si>
    <t>iPerf</t>
  </si>
  <si>
    <t>mtr</t>
  </si>
  <si>
    <t>ping</t>
  </si>
  <si>
    <t>SSHのデフォルトポート番号とトランスポートプロトコルの組み合わせはどれか？</t>
  </si>
  <si>
    <t>TCP 20</t>
  </si>
  <si>
    <t>TCP 23</t>
  </si>
  <si>
    <t>TCP 21</t>
  </si>
  <si>
    <t>TCP 22</t>
  </si>
  <si>
    <t>シングルモードファイバー（SMF）とマルチモードファイバー（MMF）の違いはどれか？</t>
  </si>
  <si>
    <t>MMFはLED光源を使用する</t>
  </si>
  <si>
    <t>MMFは単一の光路を使用する</t>
  </si>
  <si>
    <t>SMFは複数の光路を使用する</t>
  </si>
  <si>
    <t>SMFはLED光源を使用する</t>
  </si>
  <si>
    <t>同じサブネットに属するアドレスの組み合わせはどれか？</t>
  </si>
  <si>
    <t>192.168.1.100/24 と 192.168.1.254/24</t>
  </si>
  <si>
    <t>191.168.1.27/24 と 191.168.2.28/24</t>
  </si>
  <si>
    <t>191.16.1.1/24 と 192.16.1.2/24</t>
  </si>
  <si>
    <t>192.16.1.39/24 と 192.169.1.38/24</t>
  </si>
  <si>
    <t>Gigabit Ethernetケーブルに使用されるコネクタータイプはどれか？</t>
  </si>
  <si>
    <t>LC</t>
  </si>
  <si>
    <t>DB-9</t>
  </si>
  <si>
    <t>Ciscoデバイスの現在の動作設定（RAM上の設定）を表示するコマンドはどれか？</t>
  </si>
  <si>
    <t>show startup-config</t>
  </si>
  <si>
    <t>show version</t>
  </si>
  <si>
    <t>show flash</t>
  </si>
  <si>
    <t>Ciscoデバイスの接続されたインターフェースのIPアドレスと状態を一覧表示するコマンドはどれか？</t>
  </si>
  <si>
    <t>Ciscoデバイスのハードウェア情報（モデル・シリアル番号・モジュール等）を表示するコマンドはどれか？</t>
  </si>
  <si>
    <t>ネットワークデバイスへのリモートアクセス方法のうち、最も安全なのはどれか？</t>
  </si>
  <si>
    <t>Telnet</t>
  </si>
  <si>
    <t>コンソール接続</t>
  </si>
  <si>
    <t>SSH</t>
  </si>
  <si>
    <t>RDP</t>
  </si>
  <si>
    <t>ネットワーク機器のCLI設定のために使用するターミナルエミュレーターとして適切なものはどれか？</t>
  </si>
  <si>
    <t>Wireshark</t>
  </si>
  <si>
    <t>PuTTY</t>
  </si>
  <si>
    <t>Cisco Merakiクラウド管理型ネットワークの特徴はどれか？</t>
  </si>
  <si>
    <t>すべての設定をコンソールケーブル経由で行う</t>
  </si>
  <si>
    <t>Webダッシュボードからクラウド経由で一元管理できる</t>
  </si>
  <si>
    <t>設定にコマンドライン専用ツールが必要</t>
  </si>
  <si>
    <t>オンプレミスのNMSサーバーが必要</t>
  </si>
  <si>
    <t>ネットワーク機器のポートのうち「PoE」ポートの役割はどれか？</t>
  </si>
  <si>
    <t>光ファイバーケーブルを接続する</t>
  </si>
  <si>
    <t>イーサネットケーブルを通じて接続機器に電力を供給する</t>
  </si>
  <si>
    <t>コンソール設定のみに使用する</t>
  </si>
  <si>
    <t>USB接続デバイスを管理する</t>
  </si>
  <si>
    <t>SFP（Small Form-factor Pluggable）モジュールの用途はどれか？</t>
  </si>
  <si>
    <t>USBデバイスを接続する</t>
  </si>
  <si>
    <t>イーサネットや光ファイバーなど異なるメディアタイプを接続するためのモジュール</t>
  </si>
  <si>
    <t>コンソールポートとして使用する</t>
  </si>
  <si>
    <t>PoE電力を供給する</t>
  </si>
  <si>
    <t>Ciscoスイッチのステータスランプが「緑色に点灯」している場合、何を示しているか？</t>
  </si>
  <si>
    <t>エラーが発生している</t>
  </si>
  <si>
    <t>正常に動作している</t>
  </si>
  <si>
    <t>PoE電力を供給中</t>
  </si>
  <si>
    <t>デバイスが起動中</t>
  </si>
  <si>
    <t>192.168.200.0/24 ネットワークに含まれるアドレスはどれか？</t>
  </si>
  <si>
    <t>192.168.199.13</t>
  </si>
  <si>
    <t>192.168.200.13</t>
  </si>
  <si>
    <t>192.168.201.13</t>
  </si>
  <si>
    <t>192.168.1.13</t>
  </si>
  <si>
    <t>RDP（Remote Desktop Protocol）の主な用途はどれか？</t>
  </si>
  <si>
    <t>ルーターの設定変更</t>
  </si>
  <si>
    <t>WindowsコンピューターへのリモートデスクトップGUIアクセス</t>
  </si>
  <si>
    <t>パケットキャプチャ</t>
  </si>
  <si>
    <t>ネットワーク機器のCLIアクセス</t>
  </si>
  <si>
    <t>show ip routeコマンドの出力で「C」（Connected）と表示されるルートの意味はどれか？</t>
  </si>
  <si>
    <t>スタティックルートで設定されたネットワーク</t>
  </si>
  <si>
    <t>ルーターのインターフェースに直接接続されているネットワーク</t>
  </si>
  <si>
    <t>OSPF等の動的ルーティングで学習したネットワーク</t>
  </si>
  <si>
    <t>デフォルトゲートウェイへのルート</t>
  </si>
  <si>
    <t>Ciscoスイッチでshow mac address-tableコマンドを実行する目的はどれか？</t>
  </si>
  <si>
    <t>ルーティングテーブルを確認する</t>
  </si>
  <si>
    <t>MACアドレスとポートの対応関係を確認する</t>
  </si>
  <si>
    <t>インターフェースのIPアドレスを確認する</t>
  </si>
  <si>
    <t>CDPネイバー情報を確認する</t>
  </si>
  <si>
    <t>ネットワーク機器へのアクセスで「コンソール接続」が必要な状況はどれか？</t>
  </si>
  <si>
    <t>通常のリモート管理</t>
  </si>
  <si>
    <t>機器の初期設定やネットワーク接続が使えない障害対応</t>
  </si>
  <si>
    <t>VPN経由のアクセス</t>
  </si>
  <si>
    <t>クラウド管理ダッシュボードからのアクセス</t>
  </si>
  <si>
    <t>CAN（Campus Area Network）の説明として正しいのはどれか？</t>
  </si>
  <si>
    <t>個人周辺の超短距離ネットワーク</t>
  </si>
  <si>
    <t>大学・企業キャンパスなど複数の建物をカバーするネットワーク</t>
  </si>
  <si>
    <t>都市全体をカバーするネットワーク</t>
  </si>
  <si>
    <t>世界規模のネットワーク</t>
  </si>
  <si>
    <t>IoT（Internet of Things）デバイスの例として適切なものはどれか？</t>
  </si>
  <si>
    <t>Ciscoルーター</t>
  </si>
  <si>
    <t>スマート温度センサー（ネットワーク接続可能）</t>
  </si>
  <si>
    <t>WANスイッチ</t>
  </si>
  <si>
    <t>ターミナルエミュレーター</t>
  </si>
  <si>
    <t>Active Directory（AD）の役割はどれか？</t>
  </si>
  <si>
    <t>ネットワーク機器の設定を管理する</t>
  </si>
  <si>
    <t>ユーザー・コンピューター・グループなどのアイデンティティを管理するディレクトリサービス</t>
  </si>
  <si>
    <t>ネットワークトラフィックを暗号化する</t>
  </si>
  <si>
    <t>DoS（Denial of Service）攻撃の説明として正しいのはどれか？</t>
  </si>
  <si>
    <t>ユーザーのパスワードを解読する攻撃</t>
  </si>
  <si>
    <t>大量のトラフィックでサービスを停止させる攻撃</t>
  </si>
  <si>
    <t>ネットワーク通信を傍受する攻撃</t>
  </si>
  <si>
    <t>偽のWebサイトで情報を騙し取る攻撃</t>
  </si>
  <si>
    <t>WPA3の特徴として正しいのはどれか？</t>
  </si>
  <si>
    <t>WPA2より古いセキュリティ規格</t>
  </si>
  <si>
    <t>最新の無線セキュリティ規格でSAEによる強力な認証を採用</t>
  </si>
  <si>
    <t>PSKを使用しない唯一の無線セキュリティ規格</t>
  </si>
  <si>
    <t>有線LANのセキュリティ規格</t>
  </si>
  <si>
    <t>暗号化の主な目的はどれか？</t>
  </si>
  <si>
    <t>データを読み取り不可能な形式に変換して不正アクセスから保護する</t>
  </si>
  <si>
    <t>ドメイン名を解決する</t>
  </si>
  <si>
    <t>マルウェア（Malware）の説明として正しいのはどれか？</t>
  </si>
  <si>
    <t>ネットワーク管理ツールの一種</t>
  </si>
  <si>
    <t>コンピューターに損害を与えることを目的とした悪意のあるソフトウェア</t>
  </si>
  <si>
    <t>ネットワーク監視プロトコル</t>
  </si>
  <si>
    <t>ファイアウォールのルールセット</t>
  </si>
  <si>
    <t>スパム（Spam）の説明として正しいのはどれか？</t>
  </si>
  <si>
    <t>ネットワーク攻撃の一種</t>
  </si>
  <si>
    <t>受信者の同意なく大量送信される迷惑メールや広告</t>
  </si>
  <si>
    <t>パスワードを解読する手法</t>
  </si>
  <si>
    <t>ファイアウォールをバイパスする手法</t>
  </si>
  <si>
    <t>証明書（SSL/TLS証明書）の主な役割はどれか？</t>
  </si>
  <si>
    <t>パスワードを生成する</t>
  </si>
  <si>
    <t>Webサイトの身元を証明し、暗号化通信を確立する</t>
  </si>
  <si>
    <t>IPアドレスを割り当てる</t>
  </si>
  <si>
    <t>ルーティングテーブルを管理する</t>
  </si>
  <si>
    <t>Ciscoルーターでshow versionコマンドを実行したとき表示される情報として正しいのはどれか？</t>
  </si>
  <si>
    <t>接続されている全デバイスのMACアドレス</t>
  </si>
  <si>
    <t>IOSのバージョン・メモリ・稼働時間・ライセンス情報</t>
  </si>
  <si>
    <t>すべてのルーティングテーブルエントリ</t>
  </si>
  <si>
    <t>全インターフェースのIPアドレス</t>
  </si>
  <si>
    <t>Ciscoスイッチでshow interface statusコマンドの出力に表示される情報はどれか？</t>
  </si>
  <si>
    <t>ルーティングテーブルのエントリ</t>
  </si>
  <si>
    <t>各インターフェースの接続状態・速度・デュプレックス・VLAN</t>
  </si>
  <si>
    <t>CDPネイバー情報</t>
  </si>
  <si>
    <t>ネットワーク管理システム（NMS）の役割はどれか？</t>
  </si>
  <si>
    <t>個々のデバイスのパスワードを管理する</t>
  </si>
  <si>
    <t>複数のネットワーク機器の監視・設定・管理を一元的に行うシステム</t>
  </si>
  <si>
    <t>パケットをキャプチャして分析する</t>
  </si>
  <si>
    <t>ユーザー認証を管理する</t>
  </si>
  <si>
    <t>パスワードの複雑さの要件として適切なものはどれか？</t>
  </si>
  <si>
    <t>6文字以上の数字のみ</t>
  </si>
  <si>
    <t>大文字・小文字・数字・特殊文字を組み合わせた8文字以上</t>
  </si>
  <si>
    <t>生年月日をベースにしたパスワード</t>
  </si>
  <si>
    <t>同じパスワードをすべてのサービスで使用する</t>
  </si>
  <si>
    <t>ネットワーク診断でpingコマンドが成功した場合、確認できることはどれか？</t>
  </si>
  <si>
    <t>TCPの3ウェイハンドシェイクが完了している</t>
  </si>
  <si>
    <t>送信元から宛先へのネットワーク疎通（ICMPレベル）が確認できる</t>
  </si>
  <si>
    <t>アプリケーションレベルのサービスが正常</t>
  </si>
  <si>
    <t>HTTPSの暗号化が正常に機能している</t>
  </si>
  <si>
    <t>IPv4アドレスのクラス分けで、クラスCのデフォルトサブネットマスクはどれか？</t>
  </si>
  <si>
    <t>255.0.0.0</t>
  </si>
  <si>
    <t>255.255.0.0</t>
  </si>
  <si>
    <t>255.255.255.0</t>
  </si>
  <si>
    <t>255.255.255.128</t>
  </si>
  <si>
    <t>ブロードキャストドメインの説明として正しいのはどれか？</t>
  </si>
  <si>
    <t>すべてのデバイスが同一のMACアドレスを共有する範囲</t>
  </si>
  <si>
    <t>ブロードキャストパケットが届く範囲（同一Layer 2セグメント）</t>
  </si>
  <si>
    <t>インターネット全体</t>
  </si>
  <si>
    <t>VPNトンネルが通過する範囲</t>
  </si>
  <si>
    <t>Ciscoルーターで設定を保存するために実行するコマンドはどれか？</t>
  </si>
  <si>
    <t>write erase</t>
  </si>
  <si>
    <t>copy running-config startup-config</t>
  </si>
  <si>
    <t>reload</t>
  </si>
  <si>
    <t>「show cdp neighbors detail」と「show cdp neighbors」の違いはどれか？</t>
  </si>
  <si>
    <t>どちらも全く同じ情報を表示する</t>
  </si>
  <si>
    <t>detailを付けると各ネイバーのIPアドレスなど詳細情報も表示される</t>
  </si>
  <si>
    <t>detailを付けると出力が短くなる</t>
  </si>
  <si>
    <t>detailはルーターにのみ使用できる</t>
  </si>
  <si>
    <t>ネットワーク上でパケットが宛先に到達できない場合、最初に確認すべきコマンドはどれか？</t>
  </si>
  <si>
    <t>ping（疎通確認）→ tracert/traceroute（経路確認）の順</t>
  </si>
  <si>
    <t>Ciscoスイッチのポートに設定できる「アクセスモード」と「トランクモード」の違いはどれか？</t>
  </si>
  <si>
    <t>アクセスモードは複数のVLANのトラフィックを通過させる</t>
  </si>
  <si>
    <t>アクセスモードは1つのVLANのみ、トランクモードは複数のVLANのトラフィックを通過させる</t>
  </si>
  <si>
    <t>トランクモードはエンドデバイスの接続専用</t>
  </si>
  <si>
    <t>どちらも同じ動作をする</t>
  </si>
  <si>
    <t>ネットワーク図（トポロジー図）において、ルーターとスイッチを接続する際に使用するケーブルはどれか？</t>
  </si>
  <si>
    <t>ストレートスルー（パッチ）ケーブル</t>
  </si>
  <si>
    <t>コンソールケーブル</t>
  </si>
  <si>
    <t>ネットワーク管理の文書化（Documentation）が重要な理由はどれか？</t>
  </si>
  <si>
    <t>文書化するとネットワーク速度が向上する</t>
  </si>
  <si>
    <t>障害対応・変更管理・監査・引き継ぎなどを正確かつ効率的に行えるようになる</t>
  </si>
  <si>
    <t>文書化はセキュリティリスクになる</t>
  </si>
  <si>
    <t>文書化はコンプライアンス上禁止されている</t>
  </si>
  <si>
    <t xml:space="preserve">  Q51  ／  60</t>
  </si>
  <si>
    <t xml:space="preserve">  コマンド出力（show ip interface brief）</t>
  </si>
  <si>
    <t>Router# show ip interface brief
Interface              IP-Address      OK? Method Status                Protocol
GigabitEthernet0/0     192.168.1.1     YES manual up                    up
GigabitEthernet0/1     10.0.0.1        YES manual up                    down
Serial0/0/0            203.0.113.1     YES manual up                    up
Loopback0              1.1.1.1         YES manual up                    up</t>
  </si>
  <si>
    <t>上記の show ip interface brief の出力から、正しく通信可能なインターフェースは何個か？</t>
  </si>
  <si>
    <t>1個</t>
  </si>
  <si>
    <t>2個</t>
  </si>
  <si>
    <t>3個</t>
  </si>
  <si>
    <t>4個</t>
  </si>
  <si>
    <t xml:space="preserve">  Q52  ／  60</t>
  </si>
  <si>
    <t xml:space="preserve">  コマンド出力（show vlan brief）</t>
  </si>
  <si>
    <t>Switch# show vlan brief
VLAN Name                             Status    Ports
---- -------------------------------- --------- ------
1    default                          active    Fa0/3, Fa0/4, Fa0/5
10   Sales                            active    Fa0/1, Fa0/2
20   Engineering                      active    Fa0/6, Fa0/7</t>
  </si>
  <si>
    <t>上記の show vlan brief の出力において、Fa0/1 が所属している VLAN はどれか？</t>
  </si>
  <si>
    <t>VLAN 1</t>
  </si>
  <si>
    <t>VLAN 10</t>
  </si>
  <si>
    <t>VLAN 20</t>
  </si>
  <si>
    <t>VLAN 1002</t>
  </si>
  <si>
    <t xml:space="preserve">  Q53  ／  60</t>
  </si>
  <si>
    <t xml:space="preserve">  コマンド出力（show running-config 抜粋）</t>
  </si>
  <si>
    <t>Router# show running-config
!
interface GigabitEthernet0/0
 ip address 192.168.10.1 255.255.255.0
 ip access-group BLOCK_TELNET in
!
ip access-list extended BLOCK_TELNET
 deny tcp any any eq 23
 permit ip any any
!</t>
  </si>
  <si>
    <t>上記の設定から、このルーターが行っていることとして正しいものはどれか？</t>
  </si>
  <si>
    <t>Telnet の送受信をすべてブロックする</t>
  </si>
  <si>
    <t>GigabitEthernet0/0 に入ってくる Telnet トラフィックをブロックする</t>
  </si>
  <si>
    <t>すべての IP トラフィックをブロックする</t>
  </si>
  <si>
    <t>SSH（ポート22）のトラフィックをブロックする</t>
  </si>
  <si>
    <t xml:space="preserve">  Q54  ／  60</t>
  </si>
  <si>
    <t xml:space="preserve">  コマンド出力（ping）</t>
  </si>
  <si>
    <t>PC&gt; ping 192.168.1.1
Pinging 192.168.1.1 with 32 bytes of data:
Reply from 192.168.1.1: bytes=32 time=1ms TTL=128
Reply from 192.168.1.1: bytes=32 time=2ms TTL=128
Request timed out.
Request timed out.
Packets: Sent = 4, Received = 2, Lost = 2 (50% loss)</t>
  </si>
  <si>
    <t>上記の ping 結果から読み取れることとして、最も適切なものはどれか？</t>
  </si>
  <si>
    <t>192.168.1.1 はネットワーク上に存在しない</t>
  </si>
  <si>
    <t>ネットワークは完全に正常に動作している</t>
  </si>
  <si>
    <t>間欠的なパケットロスが発生しており、ネットワークが不安定な可能性がある</t>
  </si>
  <si>
    <t>TTL が小さすぎてパケットが届いていない</t>
  </si>
  <si>
    <t xml:space="preserve">  Q55  ／  60</t>
  </si>
  <si>
    <t xml:space="preserve">  ネットワーク構成図（サブネット）</t>
  </si>
  <si>
    <t>PC-A (192.168.1.10/24) ---+
PC-B (192.168.1.20/24) ---+--- SW1 --- Router --- SW2 ---+--- Server (192.168.2.100/24)
PC-C (192.168.1.30/24) ---+                              +--- PC-D (192.168.2.50/24)
Router: Gi0/0 = 192.168.1.1/24,  Gi0/1 = 192.168.2.1/24</t>
  </si>
  <si>
    <t>上図において、PC-A が Server（192.168.2.100）と通信する際に経由するデバイスはどれか？</t>
  </si>
  <si>
    <t>SW1 のみ</t>
  </si>
  <si>
    <t>SW1 → Router</t>
  </si>
  <si>
    <t>Router のみ</t>
  </si>
  <si>
    <t>SW1 → Router → SW2</t>
  </si>
  <si>
    <t xml:space="preserve">  Q56  ／  60</t>
  </si>
  <si>
    <t xml:space="preserve">  コマンド出力（show mac address-table）</t>
  </si>
  <si>
    <t>Switch# show mac address-table
Vlan  Mac Address       Type      Ports
----  -----------       ----      -----
   1  aabb.cc11.2233    DYNAMIC   Fa0/1
   1  aabb.cc44.5566    DYNAMIC   Fa0/2
  10  aabb.cc77.8899    STATIC    Fa0/10
  10  aabb.ccaa.bbcc    DYNAMIC   Fa0/3</t>
  </si>
  <si>
    <t>上記の MAC アドレステーブルについて、正しい説明はどれか？</t>
  </si>
  <si>
    <t>VLAN 10 のすべてのエントリは動的に学習された</t>
  </si>
  <si>
    <t>aabb.cc77.8899 は管理者が手動で設定したエントリである</t>
  </si>
  <si>
    <t>Fa0/1 には VLAN 10 のデバイスが接続されている</t>
  </si>
  <si>
    <t>このスイッチには合計3つの VLAN が設定されている</t>
  </si>
  <si>
    <t xml:space="preserve">  Q57  ／  60</t>
  </si>
  <si>
    <t xml:space="preserve">  コマンド出力（show spanning-tree）</t>
  </si>
  <si>
    <t>Switch# show spanning-tree vlan 1
VLAN0001
  Spanning tree enabled protocol ieee
  Root ID    Priority    32769
             Address     aabb.cc00.1100
             This bridge is the root
Interface     Role Sts Cost  Prio.Nbr
Fa0/1         Desg FWD 19    128.1
Fa0/2         Desg FWD 19    128.2
Fa0/3         Desg FWD 19    128.3</t>
  </si>
  <si>
    <t>上記の show spanning-tree の出力から読み取れることとして、正しいものはどれか？</t>
  </si>
  <si>
    <t>このスイッチはルートブリッジではない</t>
  </si>
  <si>
    <t>Fa0/3 はブロッキング状態（BLK）である</t>
  </si>
  <si>
    <t>このスイッチが VLAN 1 のルートブリッジである</t>
  </si>
  <si>
    <t>STP プロトコルは RSTP を使用している</t>
  </si>
  <si>
    <t xml:space="preserve">  Q58  ／  60</t>
  </si>
  <si>
    <t xml:space="preserve">  コマンド出力（show ip route）</t>
  </si>
  <si>
    <t>Router# show ip route
Codes: C - connected, S - static, O - OSPF
Gateway of last resort is 203.0.113.1 to network 0.0.0.0
C    192.168.1.0/24 is directly connected, GigabitEthernet0/0
C    10.0.0.0/30 is directly connected, GigabitEthernet0/1
O    172.16.0.0/16 [110/2] via 10.0.0.2, GigabitEthernet0/1
S    0.0.0.0/0 [1/0] via 203.0.113.1</t>
  </si>
  <si>
    <t>上記のルーティングテーブルにおいて、宛先 172.16.5.10 へのパケットはどのように転送されるか？</t>
  </si>
  <si>
    <t>GigabitEthernet0/0 から直接送信される</t>
  </si>
  <si>
    <t>10.0.0.2 経由で GigabitEthernet0/1 から転送される</t>
  </si>
  <si>
    <t>203.0.113.1 経由でデフォルトルートで転送される</t>
  </si>
  <si>
    <t>ルーティングテーブルにエントリがないためドロップされる</t>
  </si>
  <si>
    <t xml:space="preserve">  Q59  ／  60</t>
  </si>
  <si>
    <t xml:space="preserve">  ネットワーク構成図（OSI モデル）</t>
  </si>
  <si>
    <t>送信側 PC                             受信側 PC
+--------------------+                +-------------------+
| Layer 7 アプリ層  |                | Layer 7           |
| Layer 4 トランス層 | -- セグメント  | Layer 4           |
| Layer 3 ネット層  | -- パケット    | Layer 3           |
| Layer 2 データ層  | -- フレーム    | Layer 2           |
| Layer 1 物理層    | -- ビット列    | Layer 1           |
+--------------------+                +-------------------+</t>
  </si>
  <si>
    <t>上図で IP アドレスによる論理的なアドレッシングを行うのはどの層の PDU か？</t>
  </si>
  <si>
    <t>ビット列（Layer 1）</t>
  </si>
  <si>
    <t>フレーム（Layer 2）</t>
  </si>
  <si>
    <t>パケット（Layer 3）</t>
  </si>
  <si>
    <t>セグメント（Layer 4）</t>
  </si>
  <si>
    <t xml:space="preserve">  Q60  ／  60</t>
  </si>
  <si>
    <t xml:space="preserve">  コマンド出力（show cdp neighbors detail）</t>
  </si>
  <si>
    <t>Router-A# show cdp neighbors detail
-------------------------
Device ID: Switch-B
Entry address(es):
  IP address: 10.1.1.2
Platform: cisco WS-C2960X, Capabilities: Switch IGMP
Interface: GigabitEthernet0/0, Port ID (outgoing port): GigabitEthernet0/1
Holdtime : 120 sec</t>
  </si>
  <si>
    <t>上記の show cdp neighbors detail の出力において、Router-A の Gi0/0 に接続されているデバイスの情報として正しいものはどれか？</t>
  </si>
  <si>
    <t>デバイス名は Router-B で、IP は 10.1.1.1 である</t>
  </si>
  <si>
    <t>デバイス名は Switch-B で、IP は 10.1.1.2 である</t>
  </si>
  <si>
    <t>デバイスは Cisco ルーターで、ポート Gi0/0 に接続されている</t>
  </si>
  <si>
    <t>接続先は IOS バージョン 12.x を使用している</t>
  </si>
  <si>
    <t>スコア集計</t>
  </si>
  <si>
    <t>項目</t>
  </si>
  <si>
    <t>問題集①</t>
  </si>
  <si>
    <t>問題集②</t>
  </si>
  <si>
    <t>問題集③（余った問題）</t>
  </si>
  <si>
    <t>総問題数</t>
  </si>
  <si>
    <t>正解数</t>
  </si>
  <si>
    <t>不正解数</t>
  </si>
  <si>
    <t>未回答</t>
  </si>
  <si>
    <t>正答率</t>
  </si>
  <si>
    <t xml:space="preserve">参考問題サイト
：https://quizlet.com/1022618278/2025-updated-100-150-ccst-networking-exam-questions-flash-cards/
：https://examsland.com/free-practice-test/ccst-networking
：https://www.testpreplab.com/CCST-Networking-free-practice-test/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</si>
</sst>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3">
    <font>
      <sz val="11.0"/>
      <color theme="1"/>
      <name val="Calibri"/>
      <scheme val="minor"/>
    </font>
    <font>
      <sz val="11.0"/>
      <color theme="1"/>
      <name val="Calibri"/>
    </font>
    <font>
      <b/>
      <sz val="17.0"/>
      <color rgb="FFFFFFFF"/>
      <name val="Arial"/>
    </font>
    <font>
      <b/>
      <sz val="15.0"/>
      <color rgb="FF000000"/>
      <name val="Arial"/>
    </font>
    <font/>
    <font>
      <i/>
      <sz val="11.0"/>
      <color rgb="FF1F4E79"/>
      <name val="Noto Sans"/>
    </font>
    <font>
      <b/>
      <sz val="12.0"/>
      <color rgb="FFFFFFFF"/>
      <name val="Arial"/>
    </font>
    <font>
      <b/>
      <sz val="12.0"/>
      <color theme="1"/>
      <name val="Arial"/>
    </font>
    <font>
      <sz val="11.0"/>
      <color theme="1"/>
      <name val="Arial"/>
    </font>
    <font>
      <b/>
      <sz val="11.0"/>
      <color rgb="FFFFFFFF"/>
      <name val="Noto Sans"/>
    </font>
    <font>
      <b/>
      <sz val="15.0"/>
      <color theme="1"/>
      <name val="Arial"/>
    </font>
    <font>
      <b/>
      <sz val="13.0"/>
      <color theme="1"/>
      <name val="Arial"/>
    </font>
    <font>
      <b/>
      <sz val="11.0"/>
      <color rgb="FF7F6000"/>
      <name val="Noto Sans"/>
    </font>
    <font>
      <i/>
      <sz val="10.0"/>
      <color theme="1"/>
      <name val="Noto Sans"/>
    </font>
    <font>
      <i/>
      <sz val="10.0"/>
      <color rgb="FF555555"/>
      <name val="Noto Sans"/>
    </font>
    <font>
      <b/>
      <sz val="12.0"/>
      <color theme="1"/>
      <name val="Noto Sans"/>
    </font>
    <font>
      <sz val="11.0"/>
      <color theme="1"/>
      <name val="Noto Sans"/>
    </font>
    <font>
      <i/>
      <sz val="10.0"/>
      <color rgb="FF555555"/>
      <name val="Arial"/>
    </font>
    <font>
      <color theme="1"/>
      <name val="Calibri"/>
      <scheme val="minor"/>
    </font>
    <font>
      <sz val="10.0"/>
      <color rgb="FF555555"/>
      <name val="Noto Sans"/>
    </font>
    <font>
      <sz val="10.0"/>
      <color theme="1"/>
      <name val="Courier New"/>
    </font>
    <font>
      <sz val="10.0"/>
      <color theme="1"/>
      <name val="Noto Sans"/>
    </font>
    <font>
      <b/>
      <sz val="15.0"/>
      <color rgb="FFFFFFFF"/>
      <name val="Noto Sans"/>
    </font>
  </fonts>
  <fills count="14">
    <fill>
      <patternFill patternType="none"/>
    </fill>
    <fill>
      <patternFill patternType="lightGray"/>
    </fill>
    <fill>
      <patternFill patternType="solid">
        <fgColor rgb="FF1F4E79"/>
        <bgColor rgb="FF1F4E79"/>
      </patternFill>
    </fill>
    <fill>
      <patternFill patternType="solid">
        <fgColor rgb="FFDEEAF1"/>
        <bgColor rgb="FFDEEAF1"/>
      </patternFill>
    </fill>
    <fill>
      <patternFill patternType="solid">
        <fgColor rgb="FF2E75B6"/>
        <bgColor rgb="FF2E75B6"/>
      </patternFill>
    </fill>
    <fill>
      <patternFill patternType="solid">
        <fgColor rgb="FFEBF3FB"/>
        <bgColor rgb="FFEBF3FB"/>
      </patternFill>
    </fill>
    <fill>
      <patternFill patternType="solid">
        <fgColor rgb="FF5B9BD5"/>
        <bgColor rgb="FF5B9BD5"/>
      </patternFill>
    </fill>
    <fill>
      <patternFill patternType="solid">
        <fgColor rgb="FFFFFFFF"/>
        <bgColor rgb="FFFFFFFF"/>
      </patternFill>
    </fill>
    <fill>
      <patternFill patternType="solid">
        <fgColor rgb="FFED7D31"/>
        <bgColor rgb="FFED7D31"/>
      </patternFill>
    </fill>
    <fill>
      <patternFill patternType="solid">
        <fgColor rgb="FFFFF9DB"/>
        <bgColor rgb="FFFFF9DB"/>
      </patternFill>
    </fill>
    <fill>
      <patternFill patternType="solid">
        <fgColor rgb="FF375623"/>
        <bgColor rgb="FF375623"/>
      </patternFill>
    </fill>
    <fill>
      <patternFill patternType="solid">
        <fgColor rgb="FFFFE699"/>
        <bgColor rgb="FFFFE699"/>
      </patternFill>
    </fill>
    <fill>
      <patternFill patternType="solid">
        <fgColor rgb="FFEEEEEE"/>
        <bgColor rgb="FFEEEEEE"/>
      </patternFill>
    </fill>
    <fill>
      <patternFill patternType="solid">
        <fgColor rgb="FFF2F2F2"/>
        <bgColor rgb="FFF2F2F2"/>
      </patternFill>
    </fill>
  </fills>
  <borders count="17">
    <border/>
    <border>
      <left style="medium">
        <color rgb="FF1F4E79"/>
      </left>
      <top style="medium">
        <color rgb="FF1F4E79"/>
      </top>
      <bottom style="medium">
        <color rgb="FF1F4E79"/>
      </bottom>
    </border>
    <border>
      <right/>
      <top style="medium">
        <color rgb="FF1F4E79"/>
      </top>
      <bottom style="medium">
        <color rgb="FF1F4E79"/>
      </bottom>
    </border>
    <border>
      <left style="medium">
        <color rgb="FF2E75B6"/>
      </left>
      <top style="medium">
        <color rgb="FF2E75B6"/>
      </top>
      <bottom style="medium">
        <color rgb="FF2E75B6"/>
      </bottom>
    </border>
    <border>
      <right/>
      <top style="medium">
        <color rgb="FF2E75B6"/>
      </top>
      <bottom style="medium">
        <color rgb="FF2E75B6"/>
      </bottom>
    </border>
    <border>
      <left style="thin">
        <color rgb="FFCCCCCC"/>
      </left>
      <right style="thin">
        <color rgb="FFCCCCCC"/>
      </right>
      <top style="thin">
        <color rgb="FFCCCCCC"/>
      </top>
      <bottom style="thin">
        <color rgb="FFCCCCCC"/>
      </bottom>
    </border>
    <border>
      <left style="medium">
        <color rgb="FFED7D31"/>
      </left>
      <right style="medium">
        <color rgb="FFED7D31"/>
      </right>
      <top style="medium">
        <color rgb="FFED7D31"/>
      </top>
      <bottom style="medium">
        <color rgb="FFED7D31"/>
      </bottom>
    </border>
    <border>
      <left style="medium">
        <color rgb="FF375623"/>
      </left>
      <right style="medium">
        <color rgb="FF375623"/>
      </right>
      <top style="medium">
        <color rgb="FF375623"/>
      </top>
      <bottom style="medium">
        <color rgb="FF375623"/>
      </bottom>
    </border>
    <border>
      <left style="thin">
        <color rgb="FFCCCCCC"/>
      </left>
      <top style="thin">
        <color rgb="FFCCCCCC"/>
      </top>
      <bottom style="thin">
        <color rgb="FFCCCCCC"/>
      </bottom>
    </border>
    <border>
      <right/>
      <top style="thin">
        <color rgb="FFCCCCCC"/>
      </top>
      <bottom style="thin">
        <color rgb="FFCCCCCC"/>
      </bottom>
    </border>
    <border>
      <left style="medium">
        <color rgb="FF000000"/>
      </left>
      <top style="medium">
        <color rgb="FF000000"/>
      </top>
      <bottom style="medium">
        <color rgb="FF000000"/>
      </bottom>
    </border>
    <border>
      <right/>
      <top style="medium">
        <color rgb="FF000000"/>
      </top>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top style="medium">
        <color rgb="FF1F4E79"/>
      </top>
      <bottom style="medium">
        <color rgb="FF1F4E79"/>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vertical="center"/>
    </xf>
    <xf borderId="0" fillId="0" fontId="3" numFmtId="0" xfId="0" applyAlignment="1" applyFont="1">
      <alignment horizontal="left" readingOrder="0" vertical="center"/>
    </xf>
    <xf borderId="1" fillId="2" fontId="2" numFmtId="0" xfId="0" applyAlignment="1" applyBorder="1" applyFill="1" applyFont="1">
      <alignment horizontal="center" vertical="center"/>
    </xf>
    <xf borderId="2" fillId="0" fontId="4" numFmtId="0" xfId="0" applyBorder="1" applyFont="1"/>
    <xf borderId="3" fillId="3" fontId="5" numFmtId="0" xfId="0" applyAlignment="1" applyBorder="1" applyFill="1" applyFont="1">
      <alignment horizontal="center" vertical="center"/>
    </xf>
    <xf borderId="4" fillId="0" fontId="4" numFmtId="0" xfId="0" applyBorder="1" applyFont="1"/>
    <xf borderId="3" fillId="4" fontId="6" numFmtId="0" xfId="0" applyAlignment="1" applyBorder="1" applyFill="1" applyFont="1">
      <alignment horizontal="left" vertical="center"/>
    </xf>
    <xf borderId="3" fillId="5" fontId="7" numFmtId="0" xfId="0" applyAlignment="1" applyBorder="1" applyFill="1" applyFont="1">
      <alignment horizontal="left" shrinkToFit="0" vertical="center" wrapText="1"/>
    </xf>
    <xf borderId="5" fillId="6" fontId="6" numFmtId="0" xfId="0" applyAlignment="1" applyBorder="1" applyFill="1" applyFont="1">
      <alignment horizontal="center" vertical="center"/>
    </xf>
    <xf borderId="5" fillId="7" fontId="8" numFmtId="0" xfId="0" applyAlignment="1" applyBorder="1" applyFill="1" applyFont="1">
      <alignment horizontal="left" shrinkToFit="0" vertical="center" wrapText="1"/>
    </xf>
    <xf borderId="6" fillId="8" fontId="9" numFmtId="0" xfId="0" applyAlignment="1" applyBorder="1" applyFill="1" applyFont="1">
      <alignment horizontal="left" vertical="center"/>
    </xf>
    <xf borderId="6" fillId="9" fontId="10" numFmtId="0" xfId="0" applyAlignment="1" applyBorder="1" applyFill="1" applyFont="1">
      <alignment horizontal="center" vertical="center"/>
    </xf>
    <xf borderId="7" fillId="10" fontId="9" numFmtId="0" xfId="0" applyAlignment="1" applyBorder="1" applyFill="1" applyFont="1">
      <alignment horizontal="left" vertical="center"/>
    </xf>
    <xf borderId="7" fillId="0" fontId="11" numFmtId="0" xfId="0" applyAlignment="1" applyBorder="1" applyFont="1">
      <alignment horizontal="center" shrinkToFit="0" vertical="center" wrapText="1"/>
    </xf>
    <xf borderId="5" fillId="11" fontId="12" numFmtId="0" xfId="0" applyAlignment="1" applyBorder="1" applyFill="1" applyFont="1">
      <alignment horizontal="left" vertical="center"/>
    </xf>
    <xf borderId="5" fillId="9" fontId="13" numFmtId="0" xfId="0" applyAlignment="1" applyBorder="1" applyFont="1">
      <alignment horizontal="left" shrinkToFit="0" vertical="center" wrapText="1"/>
    </xf>
    <xf borderId="8" fillId="12" fontId="14" numFmtId="0" xfId="0" applyAlignment="1" applyBorder="1" applyFill="1" applyFont="1">
      <alignment horizontal="left" vertical="center"/>
    </xf>
    <xf borderId="9" fillId="0" fontId="4" numFmtId="0" xfId="0" applyBorder="1" applyFont="1"/>
    <xf borderId="3" fillId="5" fontId="15" numFmtId="0" xfId="0" applyAlignment="1" applyBorder="1" applyFont="1">
      <alignment horizontal="left" shrinkToFit="0" vertical="center" wrapText="1"/>
    </xf>
    <xf borderId="5" fillId="7" fontId="16" numFmtId="0" xfId="0" applyAlignment="1" applyBorder="1" applyFont="1">
      <alignment horizontal="left" shrinkToFit="0" vertical="center" wrapText="1"/>
    </xf>
    <xf borderId="8" fillId="12" fontId="17" numFmtId="0" xfId="0" applyAlignment="1" applyBorder="1" applyFont="1">
      <alignment horizontal="left" vertical="center"/>
    </xf>
    <xf borderId="0" fillId="0" fontId="18" numFmtId="0" xfId="0" applyAlignment="1" applyFont="1">
      <alignment readingOrder="0" vertical="bottom"/>
    </xf>
    <xf borderId="10" fillId="4" fontId="6" numFmtId="0" xfId="0" applyAlignment="1" applyBorder="1" applyFont="1">
      <alignment horizontal="left" vertical="center"/>
    </xf>
    <xf borderId="11" fillId="0" fontId="4" numFmtId="0" xfId="0" applyBorder="1" applyFont="1"/>
    <xf borderId="12" fillId="12" fontId="19" numFmtId="0" xfId="0" applyAlignment="1" applyBorder="1" applyFont="1">
      <alignment horizontal="left" vertical="center"/>
    </xf>
    <xf borderId="13" fillId="0" fontId="4" numFmtId="0" xfId="0" applyBorder="1" applyFont="1"/>
    <xf borderId="12" fillId="13" fontId="20" numFmtId="0" xfId="0" applyAlignment="1" applyBorder="1" applyFill="1" applyFont="1">
      <alignment horizontal="left" shrinkToFit="0" vertical="top" wrapText="1"/>
    </xf>
    <xf borderId="10" fillId="5" fontId="15" numFmtId="0" xfId="0" applyAlignment="1" applyBorder="1" applyFont="1">
      <alignment horizontal="left" shrinkToFit="0" vertical="center" wrapText="1"/>
    </xf>
    <xf borderId="14" fillId="6" fontId="6" numFmtId="0" xfId="0" applyAlignment="1" applyBorder="1" applyFont="1">
      <alignment horizontal="center" vertical="center"/>
    </xf>
    <xf borderId="14" fillId="7" fontId="16" numFmtId="0" xfId="0" applyAlignment="1" applyBorder="1" applyFont="1">
      <alignment horizontal="left" shrinkToFit="0" vertical="center" wrapText="1"/>
    </xf>
    <xf borderId="15" fillId="8" fontId="9" numFmtId="0" xfId="0" applyAlignment="1" applyBorder="1" applyFont="1">
      <alignment horizontal="left" vertical="center"/>
    </xf>
    <xf borderId="15" fillId="9" fontId="10" numFmtId="0" xfId="0" applyAlignment="1" applyBorder="1" applyFont="1">
      <alignment horizontal="center" vertical="center"/>
    </xf>
    <xf borderId="15" fillId="10" fontId="9" numFmtId="0" xfId="0" applyAlignment="1" applyBorder="1" applyFont="1">
      <alignment horizontal="left" vertical="center"/>
    </xf>
    <xf borderId="15" fillId="0" fontId="11" numFmtId="0" xfId="0" applyAlignment="1" applyBorder="1" applyFont="1">
      <alignment horizontal="center" shrinkToFit="0" vertical="center" wrapText="1"/>
    </xf>
    <xf borderId="14" fillId="11" fontId="12" numFmtId="0" xfId="0" applyAlignment="1" applyBorder="1" applyFont="1">
      <alignment horizontal="left" vertical="center"/>
    </xf>
    <xf borderId="14" fillId="9" fontId="21" numFmtId="0" xfId="0" applyAlignment="1" applyBorder="1" applyFont="1">
      <alignment horizontal="left" shrinkToFit="0" vertical="center" wrapText="1"/>
    </xf>
    <xf borderId="0" fillId="0" fontId="22" numFmtId="0" xfId="0" applyAlignment="1" applyFont="1">
      <alignment horizontal="center" vertical="center"/>
    </xf>
    <xf borderId="1" fillId="2" fontId="22" numFmtId="0" xfId="0" applyAlignment="1" applyBorder="1" applyFont="1">
      <alignment horizontal="center" vertical="center"/>
    </xf>
    <xf borderId="16" fillId="0" fontId="4" numFmtId="0" xfId="0" applyBorder="1" applyFont="1"/>
    <xf borderId="5" fillId="4" fontId="9" numFmtId="0" xfId="0" applyAlignment="1" applyBorder="1" applyFont="1">
      <alignment horizontal="center" shrinkToFit="0" vertical="center" wrapText="1"/>
    </xf>
    <xf borderId="5" fillId="4" fontId="9" numFmtId="0" xfId="0" applyAlignment="1" applyBorder="1" applyFont="1">
      <alignment horizontal="center" readingOrder="0" shrinkToFit="0" vertical="center" wrapText="1"/>
    </xf>
    <xf borderId="5" fillId="3" fontId="15" numFmtId="0" xfId="0" applyAlignment="1" applyBorder="1" applyFont="1">
      <alignment horizontal="left" vertical="center"/>
    </xf>
    <xf borderId="5" fillId="0" fontId="11" numFmtId="0" xfId="0" applyAlignment="1" applyBorder="1" applyFont="1">
      <alignment horizontal="center" vertical="center"/>
    </xf>
    <xf borderId="5" fillId="0" fontId="11" numFmtId="164" xfId="0" applyAlignment="1" applyBorder="1" applyFont="1" applyNumberFormat="1">
      <alignment horizontal="center" vertical="center"/>
    </xf>
    <xf borderId="0" fillId="0" fontId="1" numFmtId="0" xfId="0" applyAlignment="1" applyFont="1">
      <alignment horizontal="left" readingOrder="0" vertical="top"/>
    </xf>
  </cellXfs>
  <cellStyles count="1">
    <cellStyle xfId="0" name="Normal" builtinId="0"/>
  </cellStyles>
  <dxfs count="2">
    <dxf>
      <font>
        <b/>
        <sz val="13.0"/>
        <color rgb="FF375623"/>
      </font>
      <fill>
        <patternFill patternType="solid">
          <fgColor rgb="FFC6EFCE"/>
          <bgColor rgb="FFC6EFCE"/>
        </patternFill>
      </fill>
      <border/>
    </dxf>
    <dxf>
      <font>
        <b/>
        <sz val="13.0"/>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1.jpg"/><Relationship Id="rId3" Type="http://schemas.openxmlformats.org/officeDocument/2006/relationships/image" Target="../media/image5.jpg"/><Relationship Id="rId4" Type="http://schemas.openxmlformats.org/officeDocument/2006/relationships/image" Target="../media/image4.jpg"/><Relationship Id="rId9" Type="http://schemas.openxmlformats.org/officeDocument/2006/relationships/image" Target="../media/image8.jpg"/><Relationship Id="rId5" Type="http://schemas.openxmlformats.org/officeDocument/2006/relationships/image" Target="../media/image9.jpg"/><Relationship Id="rId6" Type="http://schemas.openxmlformats.org/officeDocument/2006/relationships/image" Target="../media/image6.jpg"/><Relationship Id="rId7" Type="http://schemas.openxmlformats.org/officeDocument/2006/relationships/image" Target="../media/image7.jpg"/><Relationship Id="rId8"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17</xdr:row>
      <xdr:rowOff>0</xdr:rowOff>
    </xdr:from>
    <xdr:ext cx="6124575" cy="1790700"/>
    <xdr:pic>
      <xdr:nvPicPr>
        <xdr:cNvPr descr="Picture"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39</xdr:row>
      <xdr:rowOff>0</xdr:rowOff>
    </xdr:from>
    <xdr:ext cx="6124575" cy="2143125"/>
    <xdr:pic>
      <xdr:nvPicPr>
        <xdr:cNvPr descr="Picture" id="0" name="image1.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81</xdr:row>
      <xdr:rowOff>0</xdr:rowOff>
    </xdr:from>
    <xdr:ext cx="6124575" cy="1752600"/>
    <xdr:pic>
      <xdr:nvPicPr>
        <xdr:cNvPr descr="Picture" id="0" name="image5.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93</xdr:row>
      <xdr:rowOff>0</xdr:rowOff>
    </xdr:from>
    <xdr:ext cx="6124575" cy="2428875"/>
    <xdr:pic>
      <xdr:nvPicPr>
        <xdr:cNvPr descr="Picture" id="0" name="image4.jp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135</xdr:row>
      <xdr:rowOff>0</xdr:rowOff>
    </xdr:from>
    <xdr:ext cx="6124575" cy="1733550"/>
    <xdr:pic>
      <xdr:nvPicPr>
        <xdr:cNvPr descr="Picture" id="0" name="image9.jp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147</xdr:row>
      <xdr:rowOff>0</xdr:rowOff>
    </xdr:from>
    <xdr:ext cx="6124575" cy="1790700"/>
    <xdr:pic>
      <xdr:nvPicPr>
        <xdr:cNvPr descr="Picture"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179</xdr:row>
      <xdr:rowOff>0</xdr:rowOff>
    </xdr:from>
    <xdr:ext cx="6124575" cy="1924050"/>
    <xdr:pic>
      <xdr:nvPicPr>
        <xdr:cNvPr descr="Picture" id="0" name="image6.jp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191</xdr:row>
      <xdr:rowOff>0</xdr:rowOff>
    </xdr:from>
    <xdr:ext cx="6124575" cy="2143125"/>
    <xdr:pic>
      <xdr:nvPicPr>
        <xdr:cNvPr descr="Picture" id="0" name="image1.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213</xdr:row>
      <xdr:rowOff>0</xdr:rowOff>
    </xdr:from>
    <xdr:ext cx="6124575" cy="1885950"/>
    <xdr:pic>
      <xdr:nvPicPr>
        <xdr:cNvPr descr="Picture" id="0" name="image7.jp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245</xdr:row>
      <xdr:rowOff>0</xdr:rowOff>
    </xdr:from>
    <xdr:ext cx="6124575" cy="2019300"/>
    <xdr:pic>
      <xdr:nvPicPr>
        <xdr:cNvPr descr="Picture" id="0" name="image2.jp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4752975</xdr:colOff>
      <xdr:row>179</xdr:row>
      <xdr:rowOff>295275</xdr:rowOff>
    </xdr:from>
    <xdr:ext cx="4591050" cy="1228725"/>
    <xdr:pic>
      <xdr:nvPicPr>
        <xdr:cNvPr id="0" name="image8.jpg" title="画像"/>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18.0"/>
    <col customWidth="1" min="3" max="3" width="72.0"/>
    <col customWidth="1" min="4" max="4" width="3.0"/>
    <col customWidth="1" min="5" max="26" width="8.71"/>
  </cols>
  <sheetData>
    <row r="1" ht="15.75" customHeight="1">
      <c r="A1" s="1"/>
      <c r="B1" s="2"/>
      <c r="C1" s="2"/>
      <c r="D1" s="1"/>
    </row>
    <row r="2" ht="55.5" customHeight="1">
      <c r="A2" s="1"/>
      <c r="B2" s="3" t="s">
        <v>0</v>
      </c>
      <c r="D2" s="1"/>
    </row>
    <row r="3" ht="49.5" customHeight="1">
      <c r="A3" s="1"/>
      <c r="B3" s="4" t="s">
        <v>1</v>
      </c>
      <c r="C3" s="5"/>
      <c r="D3" s="1"/>
    </row>
    <row r="4" ht="31.5" customHeight="1">
      <c r="A4" s="1"/>
      <c r="B4" s="6" t="s">
        <v>2</v>
      </c>
      <c r="C4" s="7"/>
      <c r="D4" s="1"/>
    </row>
    <row r="5">
      <c r="A5" s="1"/>
      <c r="B5" s="1"/>
      <c r="C5" s="1"/>
      <c r="D5" s="1"/>
    </row>
    <row r="6" ht="27.75" customHeight="1">
      <c r="A6" s="1"/>
      <c r="B6" s="8" t="s">
        <v>3</v>
      </c>
      <c r="C6" s="7"/>
      <c r="D6" s="1"/>
    </row>
    <row r="7" ht="57.75" customHeight="1">
      <c r="A7" s="1"/>
      <c r="B7" s="9" t="s">
        <v>4</v>
      </c>
      <c r="C7" s="7"/>
      <c r="D7" s="1"/>
    </row>
    <row r="8" ht="33.75" customHeight="1">
      <c r="A8" s="1"/>
      <c r="B8" s="10" t="s">
        <v>5</v>
      </c>
      <c r="C8" s="11" t="s">
        <v>6</v>
      </c>
      <c r="D8" s="1"/>
    </row>
    <row r="9" ht="33.75" customHeight="1">
      <c r="A9" s="1"/>
      <c r="B9" s="10" t="s">
        <v>7</v>
      </c>
      <c r="C9" s="11" t="s">
        <v>8</v>
      </c>
      <c r="D9" s="1"/>
    </row>
    <row r="10" ht="33.75" customHeight="1">
      <c r="A10" s="1"/>
      <c r="B10" s="10" t="s">
        <v>9</v>
      </c>
      <c r="C10" s="11" t="s">
        <v>10</v>
      </c>
      <c r="D10" s="1"/>
    </row>
    <row r="11" ht="33.75" customHeight="1">
      <c r="A11" s="1"/>
      <c r="B11" s="10" t="s">
        <v>11</v>
      </c>
      <c r="C11" s="11" t="s">
        <v>12</v>
      </c>
      <c r="D11" s="1"/>
    </row>
    <row r="12" ht="42.0" customHeight="1">
      <c r="A12" s="1"/>
      <c r="B12" s="12" t="s">
        <v>13</v>
      </c>
      <c r="C12" s="13"/>
      <c r="D12" s="1"/>
    </row>
    <row r="13" ht="39.75" customHeight="1">
      <c r="A13" s="1"/>
      <c r="B13" s="14" t="s">
        <v>14</v>
      </c>
      <c r="C13" s="15" t="str">
        <f>IF(C12="","← A〜Dを選んでや！",IF(C12="D","✅ 正解！ 素晴らしいで～！","❌ 不正解... 正解は D やで！"))</f>
        <v>← A〜Dを選んでや！</v>
      </c>
      <c r="D13" s="1"/>
    </row>
    <row r="14" ht="79.5" customHeight="1">
      <c r="A14" s="1"/>
      <c r="B14" s="16" t="s">
        <v>15</v>
      </c>
      <c r="C14" s="17" t="str">
        <f>IF(C12="","回答を選んでから解説が表示されるで！","正解は D やで！
先頭のゼロを省略して、連続するゼログループを :: で置き換えるんやけど、:: は1箇所にしか使えへんルールがあるで！
→ 2001:db8:0:16::1b:2000:56 が答えやで～")</f>
        <v>回答を選んでから解説が表示されるで！</v>
      </c>
      <c r="D14" s="1"/>
    </row>
    <row r="15" ht="15.75" customHeight="1">
      <c r="A15" s="1"/>
      <c r="B15" s="1"/>
      <c r="C15" s="1"/>
      <c r="D15" s="1"/>
    </row>
    <row r="16" ht="27.75" customHeight="1">
      <c r="A16" s="1"/>
      <c r="B16" s="8" t="s">
        <v>16</v>
      </c>
      <c r="C16" s="7"/>
      <c r="D16" s="1"/>
    </row>
    <row r="17" ht="18.0" customHeight="1">
      <c r="A17" s="1"/>
      <c r="B17" s="18" t="s">
        <v>17</v>
      </c>
      <c r="C17" s="19"/>
      <c r="D17" s="1"/>
    </row>
    <row r="18" ht="141.75" customHeight="1">
      <c r="A18" s="1"/>
      <c r="B18" s="1"/>
      <c r="C18" s="1"/>
      <c r="D18" s="1"/>
    </row>
    <row r="19" ht="57.75" customHeight="1">
      <c r="A19" s="1"/>
      <c r="B19" s="20" t="s">
        <v>18</v>
      </c>
      <c r="C19" s="7"/>
      <c r="D19" s="1"/>
    </row>
    <row r="20" ht="33.75" customHeight="1">
      <c r="A20" s="1"/>
      <c r="B20" s="10" t="s">
        <v>5</v>
      </c>
      <c r="C20" s="11" t="s">
        <v>19</v>
      </c>
      <c r="D20" s="1"/>
    </row>
    <row r="21" ht="33.75" customHeight="1">
      <c r="A21" s="1"/>
      <c r="B21" s="10" t="s">
        <v>7</v>
      </c>
      <c r="C21" s="11" t="s">
        <v>20</v>
      </c>
      <c r="D21" s="1"/>
    </row>
    <row r="22" ht="33.75" customHeight="1">
      <c r="A22" s="1"/>
      <c r="B22" s="10" t="s">
        <v>9</v>
      </c>
      <c r="C22" s="11" t="s">
        <v>21</v>
      </c>
      <c r="D22" s="1"/>
    </row>
    <row r="23" ht="33.75" customHeight="1">
      <c r="A23" s="1"/>
      <c r="B23" s="10" t="s">
        <v>11</v>
      </c>
      <c r="C23" s="11" t="s">
        <v>22</v>
      </c>
      <c r="D23" s="1"/>
    </row>
    <row r="24" ht="42.0" customHeight="1">
      <c r="A24" s="1"/>
      <c r="B24" s="12" t="s">
        <v>13</v>
      </c>
      <c r="C24" s="13"/>
      <c r="D24" s="1"/>
    </row>
    <row r="25" ht="39.75" customHeight="1">
      <c r="A25" s="1"/>
      <c r="B25" s="14" t="s">
        <v>14</v>
      </c>
      <c r="C25" s="15" t="str">
        <f>IF(C24="","← A〜Dを選んでや！",IF(C24="B","✅ 正解！ 素晴らしいで～！","❌ 不正解... 正解は B やで！"))</f>
        <v>← A〜Dを選んでや！</v>
      </c>
      <c r="D25" s="1"/>
    </row>
    <row r="26" ht="79.5" customHeight="1">
      <c r="A26" s="1"/>
      <c r="B26" s="16" t="s">
        <v>15</v>
      </c>
      <c r="C26" s="17" t="str">
        <f>IF(C24="","回答を選んでから解説が表示されるで！","正解は B やで！
show cdp neighbor は隣接するCiscoデバイスの情報を表示するコマンドやで！
Capability Codes・Device ID・Local Interface・Holdtimeなどが表示されるのがCDPの特徴やで～")</f>
        <v>回答を選んでから解説が表示されるで！</v>
      </c>
      <c r="D26" s="1"/>
    </row>
    <row r="27" ht="15.75" customHeight="1">
      <c r="A27" s="1"/>
      <c r="B27" s="1"/>
      <c r="C27" s="1"/>
      <c r="D27" s="1"/>
    </row>
    <row r="28" ht="27.75" customHeight="1">
      <c r="A28" s="1"/>
      <c r="B28" s="8" t="s">
        <v>23</v>
      </c>
      <c r="C28" s="7"/>
      <c r="D28" s="1"/>
    </row>
    <row r="29" ht="57.75" customHeight="1">
      <c r="A29" s="1"/>
      <c r="B29" s="9" t="s">
        <v>24</v>
      </c>
      <c r="C29" s="7"/>
      <c r="D29" s="1"/>
    </row>
    <row r="30" ht="33.75" customHeight="1">
      <c r="A30" s="1"/>
      <c r="B30" s="10" t="s">
        <v>5</v>
      </c>
      <c r="C30" s="11" t="s">
        <v>25</v>
      </c>
      <c r="D30" s="1"/>
    </row>
    <row r="31" ht="33.75" customHeight="1">
      <c r="A31" s="1"/>
      <c r="B31" s="10" t="s">
        <v>7</v>
      </c>
      <c r="C31" s="21" t="s">
        <v>26</v>
      </c>
      <c r="D31" s="1"/>
    </row>
    <row r="32" ht="33.75" customHeight="1">
      <c r="A32" s="1"/>
      <c r="B32" s="10" t="s">
        <v>9</v>
      </c>
      <c r="C32" s="21" t="s">
        <v>27</v>
      </c>
      <c r="D32" s="1"/>
    </row>
    <row r="33" ht="33.75" customHeight="1">
      <c r="A33" s="1"/>
      <c r="B33" s="10" t="s">
        <v>11</v>
      </c>
      <c r="C33" s="11" t="s">
        <v>28</v>
      </c>
      <c r="D33" s="1"/>
    </row>
    <row r="34" ht="42.0" customHeight="1">
      <c r="A34" s="1"/>
      <c r="B34" s="12" t="s">
        <v>13</v>
      </c>
      <c r="C34" s="13"/>
      <c r="D34" s="1"/>
    </row>
    <row r="35" ht="39.75" customHeight="1">
      <c r="A35" s="1"/>
      <c r="B35" s="14" t="s">
        <v>14</v>
      </c>
      <c r="C35" s="15" t="str">
        <f>IF(C34="","← A〜Dを選んでや！",IF(C34="C","✅ 正解！ 素晴らしいで～！","❌ 不正解... 正解は C やで！"))</f>
        <v>← A〜Dを選んでや！</v>
      </c>
      <c r="D35" s="1"/>
    </row>
    <row r="36" ht="79.5" customHeight="1">
      <c r="A36" s="1"/>
      <c r="B36" s="16" t="s">
        <v>15</v>
      </c>
      <c r="C36" s="17" t="str">
        <f>IF(C34="","回答を選んでから解説が表示されるで！","正解は C やで！
UDPヘッダーには送信元・宛先のポート番号が入っとるで！
IPアドレスはIPヘッダー、MACアドレスはEthernetフレーム、シーケンス番号はTCPの話やで。")</f>
        <v>回答を選んでから解説が表示されるで！</v>
      </c>
      <c r="D36" s="1"/>
    </row>
    <row r="37" ht="15.75" customHeight="1">
      <c r="A37" s="1"/>
      <c r="B37" s="1"/>
      <c r="C37" s="1"/>
      <c r="D37" s="1"/>
    </row>
    <row r="38" ht="27.75" customHeight="1">
      <c r="A38" s="1"/>
      <c r="B38" s="8" t="s">
        <v>29</v>
      </c>
      <c r="C38" s="7"/>
      <c r="D38" s="1"/>
    </row>
    <row r="39" ht="18.0" customHeight="1">
      <c r="A39" s="1"/>
      <c r="B39" s="22" t="s">
        <v>30</v>
      </c>
      <c r="C39" s="19"/>
      <c r="D39" s="1"/>
    </row>
    <row r="40" ht="169.5" customHeight="1">
      <c r="A40" s="1"/>
      <c r="B40" s="1"/>
      <c r="C40" s="1"/>
      <c r="D40" s="1"/>
    </row>
    <row r="41" ht="57.75" customHeight="1">
      <c r="A41" s="1"/>
      <c r="B41" s="20" t="s">
        <v>31</v>
      </c>
      <c r="C41" s="7"/>
      <c r="D41" s="1"/>
    </row>
    <row r="42" ht="33.75" customHeight="1">
      <c r="A42" s="1"/>
      <c r="B42" s="10" t="s">
        <v>5</v>
      </c>
      <c r="C42" s="21" t="s">
        <v>32</v>
      </c>
      <c r="D42" s="1"/>
    </row>
    <row r="43" ht="33.75" customHeight="1">
      <c r="A43" s="1"/>
      <c r="B43" s="10" t="s">
        <v>7</v>
      </c>
      <c r="C43" s="11" t="s">
        <v>33</v>
      </c>
      <c r="D43" s="1"/>
    </row>
    <row r="44" ht="33.75" customHeight="1">
      <c r="A44" s="1"/>
      <c r="B44" s="10" t="s">
        <v>9</v>
      </c>
      <c r="C44" s="11" t="s">
        <v>34</v>
      </c>
      <c r="D44" s="1"/>
    </row>
    <row r="45" ht="33.75" customHeight="1">
      <c r="A45" s="1"/>
      <c r="B45" s="10" t="s">
        <v>11</v>
      </c>
      <c r="C45" s="11" t="s">
        <v>35</v>
      </c>
      <c r="D45" s="1"/>
    </row>
    <row r="46" ht="42.0" customHeight="1">
      <c r="A46" s="1"/>
      <c r="B46" s="12" t="s">
        <v>13</v>
      </c>
      <c r="C46" s="13"/>
      <c r="D46" s="1"/>
    </row>
    <row r="47" ht="39.75" customHeight="1">
      <c r="A47" s="1"/>
      <c r="B47" s="14" t="s">
        <v>14</v>
      </c>
      <c r="C47" s="15" t="str">
        <f>IF(C46="","← A〜Dを選んでや！",IF(C46="C","✅ 正解！ 素晴らしいで～！","❌ 不正解... 正解は C やで！"))</f>
        <v>← A〜Dを選んでや！</v>
      </c>
      <c r="D47" s="1"/>
    </row>
    <row r="48" ht="79.5" customHeight="1">
      <c r="A48" s="1"/>
      <c r="B48" s="16" t="s">
        <v>15</v>
      </c>
      <c r="C48" s="17" t="str">
        <f>IF(C46="","回答を選んでから解説が表示されるで！","正解は C やで！
ホップ3が * でも後続のホップ4・5が応答して最終的に 192.168.1.10 に到達できとるから「到達可能」が正解やで！
ホップ3はICMPに返答しない設定なだけかもしれへんしな～")</f>
        <v>回答を選んでから解説が表示されるで！</v>
      </c>
      <c r="D48" s="1"/>
    </row>
    <row r="49" ht="15.75" customHeight="1">
      <c r="A49" s="1"/>
      <c r="B49" s="1"/>
      <c r="C49" s="1"/>
      <c r="D49" s="1"/>
    </row>
    <row r="50" ht="27.75" customHeight="1">
      <c r="A50" s="1"/>
      <c r="B50" s="8" t="s">
        <v>36</v>
      </c>
      <c r="C50" s="7"/>
      <c r="D50" s="1"/>
    </row>
    <row r="51" ht="57.75" customHeight="1">
      <c r="A51" s="1"/>
      <c r="B51" s="9" t="s">
        <v>37</v>
      </c>
      <c r="C51" s="7"/>
      <c r="D51" s="1"/>
    </row>
    <row r="52" ht="33.75" customHeight="1">
      <c r="A52" s="1"/>
      <c r="B52" s="10" t="s">
        <v>5</v>
      </c>
      <c r="C52" s="11" t="s">
        <v>38</v>
      </c>
      <c r="D52" s="1"/>
    </row>
    <row r="53" ht="33.75" customHeight="1">
      <c r="A53" s="1"/>
      <c r="B53" s="10" t="s">
        <v>7</v>
      </c>
      <c r="C53" s="11" t="s">
        <v>39</v>
      </c>
      <c r="D53" s="1"/>
    </row>
    <row r="54" ht="33.75" customHeight="1">
      <c r="A54" s="1"/>
      <c r="B54" s="10" t="s">
        <v>9</v>
      </c>
      <c r="C54" s="11" t="s">
        <v>40</v>
      </c>
      <c r="D54" s="1"/>
    </row>
    <row r="55" ht="33.75" customHeight="1">
      <c r="A55" s="1"/>
      <c r="B55" s="10" t="s">
        <v>11</v>
      </c>
      <c r="C55" s="11" t="s">
        <v>41</v>
      </c>
      <c r="D55" s="1"/>
    </row>
    <row r="56" ht="42.0" customHeight="1">
      <c r="A56" s="1"/>
      <c r="B56" s="12" t="s">
        <v>13</v>
      </c>
      <c r="C56" s="13"/>
      <c r="D56" s="1"/>
    </row>
    <row r="57" ht="39.75" customHeight="1">
      <c r="A57" s="1"/>
      <c r="B57" s="14" t="s">
        <v>14</v>
      </c>
      <c r="C57" s="15" t="str">
        <f>IF(C56="","← A〜Dを選んでや！",IF(C56="D","✅ 正解！ 素晴らしいで～！","❌ 不正解... 正解は D やで！"))</f>
        <v>← A〜Dを選んでや！</v>
      </c>
      <c r="D57" s="1"/>
    </row>
    <row r="58" ht="79.5" customHeight="1">
      <c r="A58" s="1"/>
      <c r="B58" s="16" t="s">
        <v>15</v>
      </c>
      <c r="C58" s="17" t="str">
        <f>IF(C56="","回答を選んでから解説が表示されるで！","正解は D やで！
255.255.252.0 を2進数にすると 11111111.11111111.11111100.00000000 やで。
1の数を数えると 8+8+6=22 → /22 が正解！")</f>
        <v>回答を選んでから解説が表示されるで！</v>
      </c>
      <c r="D58" s="1"/>
    </row>
    <row r="59" ht="15.75" customHeight="1">
      <c r="A59" s="1"/>
      <c r="B59" s="1"/>
      <c r="C59" s="1"/>
      <c r="D59" s="1"/>
    </row>
    <row r="60" ht="27.75" customHeight="1">
      <c r="A60" s="1"/>
      <c r="B60" s="8" t="s">
        <v>42</v>
      </c>
      <c r="C60" s="7"/>
      <c r="D60" s="1"/>
    </row>
    <row r="61" ht="57.75" customHeight="1">
      <c r="A61" s="1"/>
      <c r="B61" s="9" t="s">
        <v>43</v>
      </c>
      <c r="C61" s="7"/>
      <c r="D61" s="1"/>
    </row>
    <row r="62" ht="33.75" customHeight="1">
      <c r="A62" s="1"/>
      <c r="B62" s="10" t="s">
        <v>5</v>
      </c>
      <c r="C62" s="21" t="s">
        <v>44</v>
      </c>
      <c r="D62" s="1"/>
    </row>
    <row r="63" ht="33.75" customHeight="1">
      <c r="A63" s="1"/>
      <c r="B63" s="10" t="s">
        <v>7</v>
      </c>
      <c r="C63" s="21" t="s">
        <v>45</v>
      </c>
      <c r="D63" s="1"/>
    </row>
    <row r="64" ht="33.75" customHeight="1">
      <c r="A64" s="1"/>
      <c r="B64" s="10" t="s">
        <v>9</v>
      </c>
      <c r="C64" s="21" t="s">
        <v>46</v>
      </c>
      <c r="D64" s="1"/>
    </row>
    <row r="65" ht="33.75" customHeight="1">
      <c r="A65" s="1"/>
      <c r="B65" s="10" t="s">
        <v>11</v>
      </c>
      <c r="C65" s="21" t="s">
        <v>47</v>
      </c>
      <c r="D65" s="1"/>
    </row>
    <row r="66" ht="42.0" customHeight="1">
      <c r="A66" s="1"/>
      <c r="B66" s="12" t="s">
        <v>13</v>
      </c>
      <c r="C66" s="13"/>
      <c r="D66" s="1"/>
    </row>
    <row r="67" ht="39.75" customHeight="1">
      <c r="A67" s="1"/>
      <c r="B67" s="14" t="s">
        <v>14</v>
      </c>
      <c r="C67" s="15" t="str">
        <f>IF(C66="","← A〜Dを選んでや！",IF(C66="C","✅ 正解！ 素晴らしいで～！","❌ 不正解... 正解は C やで！"))</f>
        <v>← A〜Dを選んでや！</v>
      </c>
      <c r="D67" s="1"/>
    </row>
    <row r="68" ht="79.5" customHeight="1">
      <c r="A68" s="1"/>
      <c r="B68" s="16" t="s">
        <v>15</v>
      </c>
      <c r="C68" s="17" t="str">
        <f>IF(C66="","回答を選んでから解説が表示されるで！","正解は C やで！
AAA = Authentication（認証）・Authorization（認可）・Accounting（アカウンティング）やで！
「誰やねん？」って確認するのが認証やで～")</f>
        <v>回答を選んでから解説が表示されるで！</v>
      </c>
      <c r="D68" s="1"/>
    </row>
    <row r="69" ht="15.75" customHeight="1">
      <c r="A69" s="1"/>
      <c r="B69" s="1"/>
      <c r="C69" s="1"/>
      <c r="D69" s="1"/>
    </row>
    <row r="70" ht="27.75" customHeight="1">
      <c r="A70" s="1"/>
      <c r="B70" s="8" t="s">
        <v>48</v>
      </c>
      <c r="C70" s="7"/>
      <c r="D70" s="1"/>
    </row>
    <row r="71" ht="57.75" customHeight="1">
      <c r="A71" s="1"/>
      <c r="B71" s="9" t="s">
        <v>49</v>
      </c>
      <c r="C71" s="7"/>
      <c r="D71" s="1"/>
    </row>
    <row r="72" ht="33.75" customHeight="1">
      <c r="A72" s="1"/>
      <c r="B72" s="10" t="s">
        <v>5</v>
      </c>
      <c r="C72" s="11" t="s">
        <v>50</v>
      </c>
      <c r="D72" s="1"/>
    </row>
    <row r="73" ht="33.75" customHeight="1">
      <c r="A73" s="1"/>
      <c r="B73" s="10" t="s">
        <v>7</v>
      </c>
      <c r="C73" s="11" t="s">
        <v>51</v>
      </c>
      <c r="D73" s="1"/>
    </row>
    <row r="74" ht="33.75" customHeight="1">
      <c r="A74" s="1"/>
      <c r="B74" s="10" t="s">
        <v>9</v>
      </c>
      <c r="C74" s="11" t="s">
        <v>52</v>
      </c>
      <c r="D74" s="1"/>
    </row>
    <row r="75" ht="33.75" customHeight="1">
      <c r="A75" s="1"/>
      <c r="B75" s="10" t="s">
        <v>11</v>
      </c>
      <c r="C75" s="11" t="s">
        <v>53</v>
      </c>
      <c r="D75" s="1"/>
    </row>
    <row r="76" ht="42.0" customHeight="1">
      <c r="A76" s="1"/>
      <c r="B76" s="12" t="s">
        <v>13</v>
      </c>
      <c r="C76" s="13"/>
      <c r="D76" s="1"/>
    </row>
    <row r="77" ht="39.75" customHeight="1">
      <c r="A77" s="1"/>
      <c r="B77" s="14" t="s">
        <v>14</v>
      </c>
      <c r="C77" s="15" t="str">
        <f>IF(C76="","← A〜Dを選んでや！",IF(C76="D","✅ 正解！ 素晴らしいで～！","❌ 不正解... 正解は D やで！"))</f>
        <v>← A〜Dを選んでや！</v>
      </c>
      <c r="D77" s="1"/>
    </row>
    <row r="78" ht="60.0" customHeight="1">
      <c r="A78" s="1"/>
      <c r="B78" s="16" t="s">
        <v>15</v>
      </c>
      <c r="C78" s="17" t="str">
        <f>IF(C76="","回答を選んでから解説が表示されるで！","正解は D やで！
1000BASE-TはGigabit Ethernet（ツイストペアケーブル）やで！コネクターはRJ-45（8ピン）を使うんやで。")</f>
        <v>回答を選んでから解説が表示されるで！</v>
      </c>
      <c r="D78" s="1"/>
    </row>
    <row r="79" ht="15.75" customHeight="1">
      <c r="A79" s="1"/>
      <c r="B79" s="1"/>
      <c r="C79" s="1"/>
      <c r="D79" s="1"/>
    </row>
    <row r="80" ht="27.75" customHeight="1">
      <c r="A80" s="1"/>
      <c r="B80" s="8" t="s">
        <v>54</v>
      </c>
      <c r="C80" s="7"/>
      <c r="D80" s="1"/>
    </row>
    <row r="81" ht="18.0" customHeight="1">
      <c r="A81" s="1"/>
      <c r="B81" s="18" t="s">
        <v>55</v>
      </c>
      <c r="C81" s="19"/>
      <c r="D81" s="1"/>
    </row>
    <row r="82" ht="138.75" customHeight="1">
      <c r="A82" s="1"/>
      <c r="B82" s="1"/>
      <c r="C82" s="1"/>
      <c r="D82" s="1"/>
    </row>
    <row r="83" ht="57.75" customHeight="1">
      <c r="A83" s="1"/>
      <c r="B83" s="20" t="s">
        <v>56</v>
      </c>
      <c r="C83" s="7"/>
      <c r="D83" s="1"/>
    </row>
    <row r="84" ht="33.75" customHeight="1">
      <c r="A84" s="1"/>
      <c r="B84" s="10" t="s">
        <v>5</v>
      </c>
      <c r="C84" s="11" t="s">
        <v>57</v>
      </c>
      <c r="D84" s="1"/>
    </row>
    <row r="85" ht="33.75" customHeight="1">
      <c r="A85" s="1"/>
      <c r="B85" s="10" t="s">
        <v>7</v>
      </c>
      <c r="C85" s="11" t="s">
        <v>58</v>
      </c>
      <c r="D85" s="1"/>
    </row>
    <row r="86" ht="33.75" customHeight="1">
      <c r="A86" s="1"/>
      <c r="B86" s="10" t="s">
        <v>9</v>
      </c>
      <c r="C86" s="11" t="s">
        <v>59</v>
      </c>
      <c r="D86" s="1"/>
    </row>
    <row r="87" ht="33.75" customHeight="1">
      <c r="A87" s="1"/>
      <c r="B87" s="10" t="s">
        <v>11</v>
      </c>
      <c r="C87" s="11" t="s">
        <v>60</v>
      </c>
      <c r="D87" s="1"/>
    </row>
    <row r="88" ht="42.0" customHeight="1">
      <c r="A88" s="1"/>
      <c r="B88" s="12" t="s">
        <v>13</v>
      </c>
      <c r="C88" s="13"/>
      <c r="D88" s="1"/>
    </row>
    <row r="89" ht="39.75" customHeight="1">
      <c r="A89" s="1"/>
      <c r="B89" s="14" t="s">
        <v>14</v>
      </c>
      <c r="C89" s="15" t="str">
        <f>IF(C88="","← A〜Dを選んでや！",IF(C88="A","✅ 正解！ 素晴らしいで～！","❌ 不正解... 正解は A やで！"))</f>
        <v>← A〜Dを選んでや！</v>
      </c>
      <c r="D89" s="1"/>
    </row>
    <row r="90" ht="79.5" customHeight="1">
      <c r="A90" s="1"/>
      <c r="B90" s="16" t="s">
        <v>15</v>
      </c>
      <c r="C90" s="17" t="str">
        <f>IF(C88="","回答を選んでから解説が表示されるで！","正解は A やで！
仮想マシンやネットワークなどのインフラを提供するのがIaaSやで！
【図の全問正解】仮想VM→IaaS、グラフィックアプリ→SaaS、アプリ開発→PaaS やで！")</f>
        <v>回答を選んでから解説が表示されるで！</v>
      </c>
      <c r="D90" s="1"/>
    </row>
    <row r="91" ht="15.75" customHeight="1">
      <c r="A91" s="1"/>
      <c r="B91" s="1"/>
      <c r="C91" s="1"/>
      <c r="D91" s="1"/>
    </row>
    <row r="92" ht="27.75" customHeight="1">
      <c r="A92" s="1"/>
      <c r="B92" s="8" t="s">
        <v>61</v>
      </c>
      <c r="C92" s="7"/>
      <c r="D92" s="1"/>
    </row>
    <row r="93" ht="18.0" customHeight="1">
      <c r="A93" s="1"/>
      <c r="B93" s="18" t="s">
        <v>62</v>
      </c>
      <c r="C93" s="19"/>
      <c r="D93" s="1"/>
    </row>
    <row r="94" ht="192.0" customHeight="1">
      <c r="A94" s="1"/>
      <c r="B94" s="1"/>
      <c r="C94" s="1"/>
      <c r="D94" s="1"/>
    </row>
    <row r="95" ht="57.75" customHeight="1">
      <c r="A95" s="1"/>
      <c r="B95" s="20" t="s">
        <v>63</v>
      </c>
      <c r="C95" s="7"/>
      <c r="D95" s="1"/>
    </row>
    <row r="96" ht="33.75" customHeight="1">
      <c r="A96" s="1"/>
      <c r="B96" s="10" t="s">
        <v>5</v>
      </c>
      <c r="C96" s="11" t="s">
        <v>64</v>
      </c>
      <c r="D96" s="1"/>
    </row>
    <row r="97" ht="33.75" customHeight="1">
      <c r="A97" s="1"/>
      <c r="B97" s="10" t="s">
        <v>7</v>
      </c>
      <c r="C97" s="11" t="s">
        <v>65</v>
      </c>
      <c r="D97" s="1"/>
    </row>
    <row r="98" ht="33.75" customHeight="1">
      <c r="A98" s="1"/>
      <c r="B98" s="10" t="s">
        <v>9</v>
      </c>
      <c r="C98" s="21" t="s">
        <v>66</v>
      </c>
      <c r="D98" s="1"/>
    </row>
    <row r="99" ht="33.75" customHeight="1">
      <c r="A99" s="1"/>
      <c r="B99" s="10" t="s">
        <v>11</v>
      </c>
      <c r="C99" s="21" t="s">
        <v>67</v>
      </c>
      <c r="D99" s="1"/>
    </row>
    <row r="100" ht="42.0" customHeight="1">
      <c r="A100" s="1"/>
      <c r="B100" s="12" t="s">
        <v>13</v>
      </c>
      <c r="C100" s="13"/>
      <c r="D100" s="1"/>
    </row>
    <row r="101" ht="39.75" customHeight="1">
      <c r="A101" s="1"/>
      <c r="B101" s="14" t="s">
        <v>14</v>
      </c>
      <c r="C101" s="15" t="str">
        <f>IF(C100="","← A〜Dを選んでや！",IF(C100="A","✅ 正解！ 素晴らしいで～！","❌ 不正解... 正解は A やで！"))</f>
        <v>← A〜Dを選んでや！</v>
      </c>
      <c r="D101" s="1"/>
    </row>
    <row r="102" ht="79.5" customHeight="1">
      <c r="A102" s="1"/>
      <c r="B102" s="16" t="s">
        <v>15</v>
      </c>
      <c r="C102" s="17" t="str">
        <f>IF(C100="","回答を選んでから解説が表示されるで！","正解は A（True）やで！
帯域幅が低いとデータが詰まって遅延（レイテンシー）が増えるんやで。
【図の全答】Low bandwidth→latency増加：True、High latency→bandwidth減少：False、レイテンシー減少→スループット増加：True")</f>
        <v>回答を選んでから解説が表示されるで！</v>
      </c>
      <c r="D102" s="1"/>
    </row>
    <row r="103" ht="15.75" customHeight="1">
      <c r="A103" s="1"/>
      <c r="B103" s="1"/>
      <c r="C103" s="1"/>
      <c r="D103" s="1"/>
    </row>
    <row r="104" ht="27.75" customHeight="1">
      <c r="A104" s="1"/>
      <c r="B104" s="8" t="s">
        <v>68</v>
      </c>
      <c r="C104" s="7"/>
      <c r="D104" s="1"/>
    </row>
    <row r="105" ht="57.75" customHeight="1">
      <c r="A105" s="1"/>
      <c r="B105" s="20" t="s">
        <v>69</v>
      </c>
      <c r="C105" s="7"/>
      <c r="D105" s="1"/>
    </row>
    <row r="106" ht="33.75" customHeight="1">
      <c r="A106" s="1"/>
      <c r="B106" s="10" t="s">
        <v>5</v>
      </c>
      <c r="C106" s="11" t="s">
        <v>70</v>
      </c>
      <c r="D106" s="1"/>
    </row>
    <row r="107" ht="33.75" customHeight="1">
      <c r="A107" s="1"/>
      <c r="B107" s="10" t="s">
        <v>7</v>
      </c>
      <c r="C107" s="11" t="s">
        <v>71</v>
      </c>
      <c r="D107" s="1"/>
    </row>
    <row r="108" ht="33.75" customHeight="1">
      <c r="A108" s="1"/>
      <c r="B108" s="10" t="s">
        <v>9</v>
      </c>
      <c r="C108" s="11" t="s">
        <v>72</v>
      </c>
      <c r="D108" s="1"/>
    </row>
    <row r="109" ht="33.75" customHeight="1">
      <c r="A109" s="1"/>
      <c r="B109" s="10" t="s">
        <v>11</v>
      </c>
      <c r="C109" s="11" t="s">
        <v>73</v>
      </c>
      <c r="D109" s="1"/>
    </row>
    <row r="110" ht="42.0" customHeight="1">
      <c r="A110" s="1"/>
      <c r="B110" s="12" t="s">
        <v>13</v>
      </c>
      <c r="C110" s="13"/>
      <c r="D110" s="1"/>
    </row>
    <row r="111" ht="39.75" customHeight="1">
      <c r="A111" s="1"/>
      <c r="B111" s="14" t="s">
        <v>14</v>
      </c>
      <c r="C111" s="15" t="str">
        <f>IF(C110="","← A〜Dを選んでや！",IF(C110="B","✅ 正解！ 素晴らしいで～！","❌ 不正解... 正解は B やで！"))</f>
        <v>← A〜Dを選んでや！</v>
      </c>
      <c r="D111" s="1"/>
    </row>
    <row r="112" ht="79.5" customHeight="1">
      <c r="A112" s="1"/>
      <c r="B112" s="16" t="s">
        <v>15</v>
      </c>
      <c r="C112" s="17" t="str">
        <f>IF(C110="","回答を選んでから解説が表示されるで！","正解は B やで！
tracert はパケットが通る経路を追跡して、どこで問題が起きとるかを表示してくれるで！
経路追跡 = tracert！")</f>
        <v>回答を選んでから解説が表示されるで！</v>
      </c>
      <c r="D112" s="1"/>
    </row>
    <row r="113" ht="15.75" customHeight="1">
      <c r="A113" s="1"/>
      <c r="B113" s="1"/>
      <c r="C113" s="1"/>
      <c r="D113" s="1"/>
    </row>
    <row r="114" ht="27.75" customHeight="1">
      <c r="A114" s="1"/>
      <c r="B114" s="8" t="s">
        <v>74</v>
      </c>
      <c r="C114" s="7"/>
      <c r="D114" s="1"/>
    </row>
    <row r="115" ht="57.75" customHeight="1">
      <c r="A115" s="1"/>
      <c r="B115" s="9" t="s">
        <v>75</v>
      </c>
      <c r="C115" s="7"/>
      <c r="D115" s="1"/>
    </row>
    <row r="116" ht="33.75" customHeight="1">
      <c r="A116" s="1"/>
      <c r="B116" s="10" t="s">
        <v>5</v>
      </c>
      <c r="C116" s="11" t="s">
        <v>76</v>
      </c>
      <c r="D116" s="1"/>
    </row>
    <row r="117" ht="33.75" customHeight="1">
      <c r="A117" s="1"/>
      <c r="B117" s="10" t="s">
        <v>7</v>
      </c>
      <c r="C117" s="11" t="s">
        <v>77</v>
      </c>
      <c r="D117" s="1"/>
    </row>
    <row r="118" ht="33.75" customHeight="1">
      <c r="A118" s="1"/>
      <c r="B118" s="10" t="s">
        <v>9</v>
      </c>
      <c r="C118" s="11" t="s">
        <v>78</v>
      </c>
      <c r="D118" s="1"/>
    </row>
    <row r="119" ht="33.75" customHeight="1">
      <c r="A119" s="1"/>
      <c r="B119" s="10" t="s">
        <v>11</v>
      </c>
      <c r="C119" s="11" t="s">
        <v>79</v>
      </c>
      <c r="D119" s="1"/>
    </row>
    <row r="120" ht="42.0" customHeight="1">
      <c r="A120" s="1"/>
      <c r="B120" s="12" t="s">
        <v>13</v>
      </c>
      <c r="C120" s="13"/>
      <c r="D120" s="1"/>
    </row>
    <row r="121" ht="39.75" customHeight="1">
      <c r="A121" s="1"/>
      <c r="B121" s="14" t="s">
        <v>14</v>
      </c>
      <c r="C121" s="15" t="str">
        <f>IF(C120="","← A〜Dを選んでや！",IF(C120="C","✅ 正解！ 素晴らしいで～！","❌ 不正解... 正解は C やで！"))</f>
        <v>← A〜Dを選んでや！</v>
      </c>
      <c r="D121" s="1"/>
    </row>
    <row r="122" ht="79.5" customHeight="1">
      <c r="A122" s="1"/>
      <c r="B122" s="16" t="s">
        <v>15</v>
      </c>
      <c r="C122" s="17" t="str">
        <f>IF(C120="","回答を選んでから解説が表示されるで！","正解は C やで！
Wi-Fi = IEEE 802.11 シリーズで規定されとるで！
802.3はイーサネット（有線LAN）やで。")</f>
        <v>回答を選んでから解説が表示されるで！</v>
      </c>
      <c r="D122" s="1"/>
    </row>
    <row r="123" ht="15.75" customHeight="1">
      <c r="A123" s="1"/>
      <c r="B123" s="1"/>
      <c r="C123" s="1"/>
      <c r="D123" s="1"/>
    </row>
    <row r="124" ht="27.75" customHeight="1">
      <c r="A124" s="1"/>
      <c r="B124" s="8" t="s">
        <v>80</v>
      </c>
      <c r="C124" s="7"/>
      <c r="D124" s="1"/>
    </row>
    <row r="125" ht="57.75" customHeight="1">
      <c r="A125" s="1"/>
      <c r="B125" s="20" t="s">
        <v>81</v>
      </c>
      <c r="C125" s="7"/>
      <c r="D125" s="1"/>
    </row>
    <row r="126" ht="33.75" customHeight="1">
      <c r="A126" s="1"/>
      <c r="B126" s="10" t="s">
        <v>5</v>
      </c>
      <c r="C126" s="11" t="s">
        <v>82</v>
      </c>
      <c r="D126" s="1"/>
    </row>
    <row r="127" ht="33.75" customHeight="1">
      <c r="A127" s="1"/>
      <c r="B127" s="10" t="s">
        <v>7</v>
      </c>
      <c r="C127" s="11" t="s">
        <v>83</v>
      </c>
      <c r="D127" s="1"/>
    </row>
    <row r="128" ht="33.75" customHeight="1">
      <c r="A128" s="1"/>
      <c r="B128" s="10" t="s">
        <v>9</v>
      </c>
      <c r="C128" s="11" t="s">
        <v>84</v>
      </c>
      <c r="D128" s="1"/>
    </row>
    <row r="129" ht="33.75" customHeight="1">
      <c r="A129" s="1"/>
      <c r="B129" s="10" t="s">
        <v>11</v>
      </c>
      <c r="C129" s="11" t="s">
        <v>85</v>
      </c>
      <c r="D129" s="1"/>
    </row>
    <row r="130" ht="42.0" customHeight="1">
      <c r="A130" s="1"/>
      <c r="B130" s="12" t="s">
        <v>13</v>
      </c>
      <c r="C130" s="13"/>
      <c r="D130" s="1"/>
    </row>
    <row r="131" ht="39.75" customHeight="1">
      <c r="A131" s="1"/>
      <c r="B131" s="14" t="s">
        <v>14</v>
      </c>
      <c r="C131" s="15" t="str">
        <f>IF(C130="","← A〜Dを選んでや！",IF(C130="A","✅ 正解！ 素晴らしいで～！","❌ 不正解... 正解は A やで！"))</f>
        <v>← A〜Dを選んでや！</v>
      </c>
      <c r="D131" s="1"/>
    </row>
    <row r="132" ht="60.0" customHeight="1">
      <c r="A132" s="1"/>
      <c r="B132" s="16" t="s">
        <v>15</v>
      </c>
      <c r="C132" s="17" t="str">
        <f>IF(C130="","回答を選んでから解説が表示されるで！","正解は A やで！
最初のチケットには「何が起きたか（詳細説明）」と「どんな時に起きるか（発生条件）」が大事やで！")</f>
        <v>回答を選んでから解説が表示されるで！</v>
      </c>
      <c r="D132" s="1"/>
    </row>
    <row r="133" ht="15.75" customHeight="1">
      <c r="A133" s="1"/>
      <c r="B133" s="1"/>
      <c r="C133" s="1"/>
      <c r="D133" s="1"/>
    </row>
    <row r="134" ht="27.75" customHeight="1">
      <c r="A134" s="1"/>
      <c r="B134" s="8" t="s">
        <v>86</v>
      </c>
      <c r="C134" s="7"/>
      <c r="D134" s="1"/>
    </row>
    <row r="135" ht="18.0" customHeight="1">
      <c r="A135" s="1"/>
      <c r="B135" s="18" t="s">
        <v>87</v>
      </c>
      <c r="C135" s="19"/>
      <c r="D135" s="1"/>
    </row>
    <row r="136" ht="137.25" customHeight="1">
      <c r="A136" s="1"/>
      <c r="B136" s="1"/>
      <c r="C136" s="1"/>
      <c r="D136" s="1"/>
    </row>
    <row r="137" ht="57.75" customHeight="1">
      <c r="A137" s="1"/>
      <c r="B137" s="20" t="s">
        <v>88</v>
      </c>
      <c r="C137" s="7"/>
      <c r="D137" s="1"/>
    </row>
    <row r="138" ht="33.75" customHeight="1">
      <c r="A138" s="1"/>
      <c r="B138" s="10" t="s">
        <v>5</v>
      </c>
      <c r="C138" s="11" t="s">
        <v>89</v>
      </c>
      <c r="D138" s="1"/>
    </row>
    <row r="139" ht="33.75" customHeight="1">
      <c r="A139" s="1"/>
      <c r="B139" s="10" t="s">
        <v>7</v>
      </c>
      <c r="C139" s="11" t="s">
        <v>90</v>
      </c>
      <c r="D139" s="1"/>
    </row>
    <row r="140" ht="33.75" customHeight="1">
      <c r="A140" s="1"/>
      <c r="B140" s="10" t="s">
        <v>9</v>
      </c>
      <c r="C140" s="11" t="s">
        <v>91</v>
      </c>
      <c r="D140" s="1"/>
    </row>
    <row r="141" ht="33.75" customHeight="1">
      <c r="A141" s="1"/>
      <c r="B141" s="10" t="s">
        <v>11</v>
      </c>
      <c r="C141" s="11" t="s">
        <v>92</v>
      </c>
      <c r="D141" s="1"/>
    </row>
    <row r="142" ht="42.0" customHeight="1">
      <c r="A142" s="1"/>
      <c r="B142" s="12" t="s">
        <v>13</v>
      </c>
      <c r="C142" s="13"/>
      <c r="D142" s="1"/>
    </row>
    <row r="143" ht="39.75" customHeight="1">
      <c r="A143" s="1"/>
      <c r="B143" s="14" t="s">
        <v>14</v>
      </c>
      <c r="C143" s="15" t="str">
        <f>IF(C142="","← A〜Dを選んでや！",IF(C142="B","✅ 正解！ 素晴らしいで～！","❌ 不正解... 正解は B やで！"))</f>
        <v>← A〜Dを選んでや！</v>
      </c>
      <c r="D143" s="1"/>
    </row>
    <row r="144" ht="79.5" customHeight="1">
      <c r="A144" s="1"/>
      <c r="B144" s="16" t="s">
        <v>15</v>
      </c>
      <c r="C144" s="17" t="str">
        <f>IF(C142="","回答を選んでから解説が表示されるで！","正解は B やで！
nslookup はDNSに問い合わせてホスト名からIPアドレスを調べるコマンドやで！
【図の正解】コマンド：nslookup、引数：www.companypro.net やで～")</f>
        <v>回答を選んでから解説が表示されるで！</v>
      </c>
      <c r="D144" s="1"/>
    </row>
    <row r="145" ht="15.75" customHeight="1">
      <c r="A145" s="1"/>
      <c r="B145" s="1"/>
      <c r="C145" s="1"/>
      <c r="D145" s="1"/>
    </row>
    <row r="146" ht="27.75" customHeight="1">
      <c r="A146" s="1"/>
      <c r="B146" s="8" t="s">
        <v>93</v>
      </c>
      <c r="C146" s="7"/>
      <c r="D146" s="1"/>
    </row>
    <row r="147" ht="18.0" customHeight="1">
      <c r="A147" s="1"/>
      <c r="B147" s="18" t="s">
        <v>17</v>
      </c>
      <c r="C147" s="19"/>
      <c r="D147" s="1"/>
    </row>
    <row r="148" ht="141.75" customHeight="1">
      <c r="A148" s="1"/>
      <c r="B148" s="1"/>
      <c r="C148" s="1"/>
      <c r="D148" s="1"/>
    </row>
    <row r="149" ht="57.75" customHeight="1">
      <c r="A149" s="1"/>
      <c r="B149" s="20" t="s">
        <v>18</v>
      </c>
      <c r="C149" s="7"/>
      <c r="D149" s="1"/>
    </row>
    <row r="150" ht="33.75" customHeight="1">
      <c r="A150" s="1"/>
      <c r="B150" s="10" t="s">
        <v>5</v>
      </c>
      <c r="C150" s="11" t="s">
        <v>19</v>
      </c>
      <c r="D150" s="1"/>
    </row>
    <row r="151" ht="33.75" customHeight="1">
      <c r="A151" s="1"/>
      <c r="B151" s="10" t="s">
        <v>7</v>
      </c>
      <c r="C151" s="11" t="s">
        <v>20</v>
      </c>
      <c r="D151" s="1"/>
    </row>
    <row r="152" ht="33.75" customHeight="1">
      <c r="A152" s="1"/>
      <c r="B152" s="10" t="s">
        <v>9</v>
      </c>
      <c r="C152" s="11" t="s">
        <v>21</v>
      </c>
      <c r="D152" s="1"/>
    </row>
    <row r="153" ht="33.75" customHeight="1">
      <c r="A153" s="1"/>
      <c r="B153" s="10" t="s">
        <v>11</v>
      </c>
      <c r="C153" s="11" t="s">
        <v>22</v>
      </c>
      <c r="D153" s="1"/>
    </row>
    <row r="154" ht="42.0" customHeight="1">
      <c r="A154" s="1"/>
      <c r="B154" s="12" t="s">
        <v>13</v>
      </c>
      <c r="C154" s="13"/>
      <c r="D154" s="1"/>
    </row>
    <row r="155" ht="39.75" customHeight="1">
      <c r="A155" s="1"/>
      <c r="B155" s="14" t="s">
        <v>14</v>
      </c>
      <c r="C155" s="15" t="str">
        <f>IF(C154="","← A〜Dを選んでや！",IF(C154="B","✅ 正解！ 素晴らしいで～！","❌ 不正解... 正解は B やで！"))</f>
        <v>← A〜Dを選んでや！</v>
      </c>
      <c r="D155" s="1"/>
    </row>
    <row r="156" ht="60.0" customHeight="1">
      <c r="A156" s="1"/>
      <c r="B156" s="16" t="s">
        <v>15</v>
      </c>
      <c r="C156" s="17" t="str">
        <f>IF(C154="","回答を選んでから解説が表示されるで！","正解は B やで！
show cdp neighbor はCDPで検出された隣接Ciscoデバイスの情報を表示するコマンドやで！")</f>
        <v>回答を選んでから解説が表示されるで！</v>
      </c>
      <c r="D156" s="1"/>
    </row>
    <row r="157" ht="15.75" customHeight="1">
      <c r="A157" s="1"/>
      <c r="B157" s="1"/>
      <c r="C157" s="1"/>
      <c r="D157" s="1"/>
    </row>
    <row r="158" ht="27.75" customHeight="1">
      <c r="A158" s="1"/>
      <c r="B158" s="8" t="s">
        <v>94</v>
      </c>
      <c r="C158" s="7"/>
      <c r="D158" s="1"/>
    </row>
    <row r="159" ht="57.75" customHeight="1">
      <c r="A159" s="1"/>
      <c r="B159" s="9" t="s">
        <v>43</v>
      </c>
      <c r="C159" s="7"/>
      <c r="D159" s="1"/>
    </row>
    <row r="160" ht="33.75" customHeight="1">
      <c r="A160" s="1"/>
      <c r="B160" s="10" t="s">
        <v>5</v>
      </c>
      <c r="C160" s="21" t="s">
        <v>44</v>
      </c>
      <c r="D160" s="1"/>
    </row>
    <row r="161" ht="33.75" customHeight="1">
      <c r="A161" s="1"/>
      <c r="B161" s="10" t="s">
        <v>7</v>
      </c>
      <c r="C161" s="21" t="s">
        <v>45</v>
      </c>
      <c r="D161" s="1"/>
    </row>
    <row r="162" ht="33.75" customHeight="1">
      <c r="A162" s="1"/>
      <c r="B162" s="10" t="s">
        <v>9</v>
      </c>
      <c r="C162" s="21" t="s">
        <v>46</v>
      </c>
      <c r="D162" s="1"/>
    </row>
    <row r="163" ht="33.75" customHeight="1">
      <c r="A163" s="1"/>
      <c r="B163" s="10" t="s">
        <v>11</v>
      </c>
      <c r="C163" s="21" t="s">
        <v>47</v>
      </c>
      <c r="D163" s="1"/>
    </row>
    <row r="164" ht="42.0" customHeight="1">
      <c r="A164" s="1"/>
      <c r="B164" s="12" t="s">
        <v>13</v>
      </c>
      <c r="C164" s="13"/>
      <c r="D164" s="1"/>
    </row>
    <row r="165" ht="39.75" customHeight="1">
      <c r="A165" s="1"/>
      <c r="B165" s="14" t="s">
        <v>14</v>
      </c>
      <c r="C165" s="15" t="str">
        <f>IF(C164="","← A〜Dを選んでや！",IF(C164="C","✅ 正解！ 素晴らしいで～！","❌ 不正解... 正解は C やで！"))</f>
        <v>← A〜Dを選んでや！</v>
      </c>
      <c r="D165" s="1"/>
    </row>
    <row r="166" ht="60.0" customHeight="1">
      <c r="A166" s="1"/>
      <c r="B166" s="16" t="s">
        <v>15</v>
      </c>
      <c r="C166" s="17" t="str">
        <f>IF(C164="","回答を選んでから解説が表示されるで！","正解は C やで！
Authentication（認証）が身元確認やで。AAA：認証→認可→アカウンティングの順番やな！")</f>
        <v>回答を選んでから解説が表示されるで！</v>
      </c>
      <c r="D166" s="1"/>
    </row>
    <row r="167" ht="15.75" customHeight="1">
      <c r="A167" s="1"/>
      <c r="B167" s="1"/>
      <c r="C167" s="1"/>
      <c r="D167" s="1"/>
    </row>
    <row r="168" ht="27.75" customHeight="1">
      <c r="A168" s="1"/>
      <c r="B168" s="8" t="s">
        <v>95</v>
      </c>
      <c r="C168" s="7"/>
      <c r="D168" s="1"/>
    </row>
    <row r="169" ht="57.75" customHeight="1">
      <c r="A169" s="1"/>
      <c r="B169" s="20" t="s">
        <v>96</v>
      </c>
      <c r="C169" s="7"/>
      <c r="D169" s="1"/>
    </row>
    <row r="170" ht="33.75" customHeight="1">
      <c r="A170" s="1"/>
      <c r="B170" s="10" t="s">
        <v>5</v>
      </c>
      <c r="C170" s="11" t="s">
        <v>97</v>
      </c>
      <c r="D170" s="1"/>
    </row>
    <row r="171" ht="33.75" customHeight="1">
      <c r="A171" s="1"/>
      <c r="B171" s="10" t="s">
        <v>7</v>
      </c>
      <c r="C171" s="11" t="s">
        <v>98</v>
      </c>
      <c r="D171" s="1"/>
    </row>
    <row r="172" ht="33.75" customHeight="1">
      <c r="A172" s="1"/>
      <c r="B172" s="10" t="s">
        <v>9</v>
      </c>
      <c r="C172" s="11" t="s">
        <v>99</v>
      </c>
      <c r="D172" s="1"/>
    </row>
    <row r="173" ht="33.75" customHeight="1">
      <c r="A173" s="1"/>
      <c r="B173" s="10" t="s">
        <v>11</v>
      </c>
      <c r="C173" s="11" t="s">
        <v>100</v>
      </c>
      <c r="D173" s="1"/>
    </row>
    <row r="174" ht="42.0" customHeight="1">
      <c r="A174" s="1"/>
      <c r="B174" s="12" t="s">
        <v>13</v>
      </c>
      <c r="C174" s="13"/>
      <c r="D174" s="1"/>
    </row>
    <row r="175" ht="39.75" customHeight="1">
      <c r="A175" s="1"/>
      <c r="B175" s="14" t="s">
        <v>14</v>
      </c>
      <c r="C175" s="15" t="str">
        <f>IF(C174="","← A〜Dを選んでや！",IF(C174="A","✅ 正解！ 素晴らしいで～！","❌ 不正解... 正解は A やで！"))</f>
        <v>← A〜Dを選んでや！</v>
      </c>
      <c r="D175" s="1"/>
    </row>
    <row r="176" ht="60.0" customHeight="1">
      <c r="A176" s="1"/>
      <c r="B176" s="16" t="s">
        <v>15</v>
      </c>
      <c r="C176" s="17" t="str">
        <f>IF(C174="","回答を選んでから解説が表示されるで！","正解は A やで！
「何が起きたか」と「どんな条件で起きるか」が最初のチケットで必須な情報やで。")</f>
        <v>回答を選んでから解説が表示されるで！</v>
      </c>
      <c r="D176" s="1"/>
    </row>
    <row r="177" ht="15.75" customHeight="1">
      <c r="A177" s="1"/>
      <c r="B177" s="1"/>
      <c r="C177" s="1"/>
      <c r="D177" s="1"/>
    </row>
    <row r="178" ht="27.75" customHeight="1">
      <c r="A178" s="1"/>
      <c r="B178" s="8" t="s">
        <v>101</v>
      </c>
      <c r="C178" s="7"/>
      <c r="D178" s="1"/>
    </row>
    <row r="179" ht="18.0" customHeight="1">
      <c r="A179" s="1"/>
      <c r="B179" s="22" t="s">
        <v>102</v>
      </c>
      <c r="C179" s="19"/>
      <c r="D179" s="1"/>
    </row>
    <row r="180" ht="152.25" customHeight="1">
      <c r="A180" s="1"/>
      <c r="B180" s="1"/>
      <c r="C180" s="1"/>
      <c r="D180" s="1"/>
      <c r="E180" s="23" t="s">
        <v>103</v>
      </c>
    </row>
    <row r="181" ht="57.75" customHeight="1">
      <c r="A181" s="1"/>
      <c r="B181" s="20" t="s">
        <v>104</v>
      </c>
      <c r="C181" s="7"/>
      <c r="D181" s="1"/>
    </row>
    <row r="182" ht="33.75" customHeight="1">
      <c r="A182" s="1"/>
      <c r="B182" s="10" t="s">
        <v>5</v>
      </c>
      <c r="C182" s="11" t="s">
        <v>64</v>
      </c>
      <c r="D182" s="1"/>
    </row>
    <row r="183" ht="33.75" customHeight="1">
      <c r="A183" s="1"/>
      <c r="B183" s="10" t="s">
        <v>7</v>
      </c>
      <c r="C183" s="11" t="s">
        <v>65</v>
      </c>
      <c r="D183" s="1"/>
    </row>
    <row r="184" ht="33.75" customHeight="1">
      <c r="A184" s="1"/>
      <c r="B184" s="10" t="s">
        <v>9</v>
      </c>
      <c r="C184" s="21" t="s">
        <v>105</v>
      </c>
      <c r="D184" s="1"/>
    </row>
    <row r="185" ht="33.75" customHeight="1">
      <c r="A185" s="1"/>
      <c r="B185" s="10" t="s">
        <v>11</v>
      </c>
      <c r="C185" s="11" t="s">
        <v>106</v>
      </c>
      <c r="D185" s="1"/>
    </row>
    <row r="186" ht="42.0" customHeight="1">
      <c r="A186" s="1"/>
      <c r="B186" s="12" t="s">
        <v>13</v>
      </c>
      <c r="C186" s="13"/>
      <c r="D186" s="1"/>
    </row>
    <row r="187" ht="39.75" customHeight="1">
      <c r="A187" s="1"/>
      <c r="B187" s="14" t="s">
        <v>14</v>
      </c>
      <c r="C187" s="15" t="str">
        <f>IF(C186="","← A〜Dを選んでや！",IF(C186="A","✅ 正解！ 素晴らしいで～！","❌ 不正解... 正解は A やで！"))</f>
        <v>← A〜Dを選んでや！</v>
      </c>
      <c r="D187" s="1"/>
    </row>
    <row r="188" ht="99.75" customHeight="1">
      <c r="A188" s="1"/>
      <c r="B188" s="16" t="s">
        <v>15</v>
      </c>
      <c r="C188" s="17" t="str">
        <f>IF(C186="","回答を選んでから解説が表示されるで！","正解は A（True）やで！
shutdownコマンドが見当たらへんからインターフェースは動作してるで！
CiscoスイッチはデフォルトでLayer 2として動作するからLayer 2通信は可能やで～
【全答】shut down→False、デフォルトIP→False、Layer2通信→True")</f>
        <v>回答を選んでから解説が表示されるで！</v>
      </c>
      <c r="D188" s="1"/>
    </row>
    <row r="189" ht="15.75" customHeight="1">
      <c r="A189" s="1"/>
      <c r="B189" s="1"/>
      <c r="C189" s="1"/>
      <c r="D189" s="1"/>
    </row>
    <row r="190" ht="27.75" customHeight="1">
      <c r="A190" s="1"/>
      <c r="B190" s="8" t="s">
        <v>107</v>
      </c>
      <c r="C190" s="7"/>
      <c r="D190" s="1"/>
    </row>
    <row r="191" ht="18.0" customHeight="1">
      <c r="A191" s="1"/>
      <c r="B191" s="22" t="s">
        <v>30</v>
      </c>
      <c r="C191" s="19"/>
      <c r="D191" s="1"/>
    </row>
    <row r="192" ht="169.5" customHeight="1">
      <c r="A192" s="1"/>
      <c r="B192" s="1"/>
      <c r="C192" s="1"/>
      <c r="D192" s="1"/>
    </row>
    <row r="193" ht="57.75" customHeight="1">
      <c r="A193" s="1"/>
      <c r="B193" s="20" t="s">
        <v>31</v>
      </c>
      <c r="C193" s="7"/>
      <c r="D193" s="1"/>
    </row>
    <row r="194" ht="33.75" customHeight="1">
      <c r="A194" s="1"/>
      <c r="B194" s="10" t="s">
        <v>5</v>
      </c>
      <c r="C194" s="21" t="s">
        <v>32</v>
      </c>
      <c r="D194" s="1"/>
    </row>
    <row r="195" ht="33.75" customHeight="1">
      <c r="A195" s="1"/>
      <c r="B195" s="10" t="s">
        <v>7</v>
      </c>
      <c r="C195" s="11" t="s">
        <v>33</v>
      </c>
      <c r="D195" s="1"/>
    </row>
    <row r="196" ht="33.75" customHeight="1">
      <c r="A196" s="1"/>
      <c r="B196" s="10" t="s">
        <v>9</v>
      </c>
      <c r="C196" s="11" t="s">
        <v>34</v>
      </c>
      <c r="D196" s="1"/>
    </row>
    <row r="197" ht="33.75" customHeight="1">
      <c r="A197" s="1"/>
      <c r="B197" s="10" t="s">
        <v>11</v>
      </c>
      <c r="C197" s="11" t="s">
        <v>108</v>
      </c>
      <c r="D197" s="1"/>
    </row>
    <row r="198" ht="42.0" customHeight="1">
      <c r="A198" s="1"/>
      <c r="B198" s="12" t="s">
        <v>13</v>
      </c>
      <c r="C198" s="13"/>
      <c r="D198" s="1"/>
    </row>
    <row r="199" ht="39.75" customHeight="1">
      <c r="A199" s="1"/>
      <c r="B199" s="14" t="s">
        <v>14</v>
      </c>
      <c r="C199" s="15" t="str">
        <f>IF(C198="","← A〜Dを選んでや！",IF(C198="C","✅ 正解！ 素晴らしいで～！","❌ 不正解... 正解は C やで！"))</f>
        <v>← A〜Dを選んでや！</v>
      </c>
      <c r="D199" s="1"/>
    </row>
    <row r="200" ht="60.0" customHeight="1">
      <c r="A200" s="1"/>
      <c r="B200" s="16" t="s">
        <v>15</v>
      </c>
      <c r="C200" s="17" t="str">
        <f>IF(C198="","回答を選んでから解説が表示されるで！","正解は C やで！
ホップ3が * でも後続のホップ4・5が応答して最終的に 192.168.1.10 に到達できとるから「到達可能」が正解やで！")</f>
        <v>回答を選んでから解説が表示されるで！</v>
      </c>
      <c r="D200" s="1"/>
    </row>
    <row r="201" ht="15.75" customHeight="1">
      <c r="A201" s="1"/>
      <c r="B201" s="1"/>
      <c r="C201" s="1"/>
      <c r="D201" s="1"/>
    </row>
    <row r="202" ht="27.75" customHeight="1">
      <c r="A202" s="1"/>
      <c r="B202" s="8" t="s">
        <v>109</v>
      </c>
      <c r="C202" s="7"/>
      <c r="D202" s="1"/>
    </row>
    <row r="203" ht="57.75" customHeight="1">
      <c r="A203" s="1"/>
      <c r="B203" s="20" t="s">
        <v>110</v>
      </c>
      <c r="C203" s="7"/>
      <c r="D203" s="1"/>
    </row>
    <row r="204" ht="33.75" customHeight="1">
      <c r="A204" s="1"/>
      <c r="B204" s="10" t="s">
        <v>5</v>
      </c>
      <c r="C204" s="11" t="s">
        <v>111</v>
      </c>
      <c r="D204" s="1"/>
    </row>
    <row r="205" ht="33.75" customHeight="1">
      <c r="A205" s="1"/>
      <c r="B205" s="10" t="s">
        <v>7</v>
      </c>
      <c r="C205" s="11" t="s">
        <v>112</v>
      </c>
      <c r="D205" s="1"/>
    </row>
    <row r="206" ht="33.75" customHeight="1">
      <c r="A206" s="1"/>
      <c r="B206" s="10" t="s">
        <v>9</v>
      </c>
      <c r="C206" s="11" t="s">
        <v>113</v>
      </c>
      <c r="D206" s="1"/>
    </row>
    <row r="207" ht="33.75" customHeight="1">
      <c r="A207" s="1"/>
      <c r="B207" s="10" t="s">
        <v>11</v>
      </c>
      <c r="C207" s="11" t="s">
        <v>114</v>
      </c>
      <c r="D207" s="1"/>
    </row>
    <row r="208" ht="42.0" customHeight="1">
      <c r="A208" s="1"/>
      <c r="B208" s="12" t="s">
        <v>13</v>
      </c>
      <c r="C208" s="13"/>
      <c r="D208" s="1"/>
    </row>
    <row r="209" ht="39.75" customHeight="1">
      <c r="A209" s="1"/>
      <c r="B209" s="14" t="s">
        <v>14</v>
      </c>
      <c r="C209" s="15" t="str">
        <f>IF(C208="","← A〜Dを選んでや！",IF(C208="A","✅ 正解！ 素晴らしいで～！","❌ 不正解... 正解は A やで！"))</f>
        <v>← A〜Dを選んでや！</v>
      </c>
      <c r="D209" s="1"/>
    </row>
    <row r="210" ht="60.0" customHeight="1">
      <c r="A210" s="1"/>
      <c r="B210" s="16" t="s">
        <v>15</v>
      </c>
      <c r="C210" s="17" t="str">
        <f>IF(C208="","回答を選んでから解説が表示されるで！","正解は A やで！
同じサブネットのホストは全員同じデフォルトGWを使うし（B）、そのGWはルーターのローカル側インターフェースのIPやで（D）。")</f>
        <v>回答を選んでから解説が表示されるで！</v>
      </c>
      <c r="D210" s="1"/>
    </row>
    <row r="211" ht="15.75" customHeight="1">
      <c r="A211" s="1"/>
      <c r="B211" s="1"/>
      <c r="C211" s="1"/>
      <c r="D211" s="1"/>
    </row>
    <row r="212" ht="27.75" customHeight="1">
      <c r="A212" s="1"/>
      <c r="B212" s="8" t="s">
        <v>115</v>
      </c>
      <c r="C212" s="7"/>
      <c r="D212" s="1"/>
    </row>
    <row r="213" ht="18.0" customHeight="1">
      <c r="A213" s="1"/>
      <c r="B213" s="22" t="s">
        <v>116</v>
      </c>
      <c r="C213" s="19"/>
      <c r="D213" s="1"/>
    </row>
    <row r="214" ht="149.25" customHeight="1">
      <c r="A214" s="1"/>
      <c r="B214" s="1"/>
      <c r="C214" s="1"/>
      <c r="D214" s="1"/>
    </row>
    <row r="215" ht="57.75" customHeight="1">
      <c r="A215" s="1"/>
      <c r="B215" s="20" t="s">
        <v>117</v>
      </c>
      <c r="C215" s="7"/>
      <c r="D215" s="1"/>
    </row>
    <row r="216" ht="33.75" customHeight="1">
      <c r="A216" s="1"/>
      <c r="B216" s="10" t="s">
        <v>5</v>
      </c>
      <c r="C216" s="11" t="s">
        <v>118</v>
      </c>
      <c r="D216" s="1"/>
    </row>
    <row r="217" ht="33.75" customHeight="1">
      <c r="A217" s="1"/>
      <c r="B217" s="10" t="s">
        <v>7</v>
      </c>
      <c r="C217" s="11" t="s">
        <v>119</v>
      </c>
      <c r="D217" s="1"/>
    </row>
    <row r="218" ht="33.75" customHeight="1">
      <c r="A218" s="1"/>
      <c r="B218" s="10" t="s">
        <v>9</v>
      </c>
      <c r="C218" s="11" t="s">
        <v>120</v>
      </c>
      <c r="D218" s="1"/>
    </row>
    <row r="219" ht="33.75" customHeight="1">
      <c r="A219" s="1"/>
      <c r="B219" s="10" t="s">
        <v>11</v>
      </c>
      <c r="C219" s="11" t="s">
        <v>121</v>
      </c>
      <c r="D219" s="1"/>
    </row>
    <row r="220" ht="42.0" customHeight="1">
      <c r="A220" s="1"/>
      <c r="B220" s="12" t="s">
        <v>13</v>
      </c>
      <c r="C220" s="13"/>
      <c r="D220" s="1"/>
    </row>
    <row r="221" ht="39.75" customHeight="1">
      <c r="A221" s="1"/>
      <c r="B221" s="14" t="s">
        <v>14</v>
      </c>
      <c r="C221" s="15" t="str">
        <f>IF(C220="","← A〜Dを選んでや！",IF(C220="C","✅ 正解！ 素晴らしいで～！","❌ 不正解... 正解は C やで！"))</f>
        <v>← A〜Dを選んでや！</v>
      </c>
      <c r="D221" s="1"/>
    </row>
    <row r="222" ht="79.5" customHeight="1">
      <c r="A222" s="1"/>
      <c r="B222" s="16" t="s">
        <v>15</v>
      </c>
      <c r="C222" s="17" t="str">
        <f>IF(C220="","回答を選んでから解説が表示されるで！","正解は C やで！
FTPはアプリケーション層やで！
【全答】Application→FTP、Transport→TCP、Internetwork→IP、Network→Ethernet やで～")</f>
        <v>回答を選んでから解説が表示されるで！</v>
      </c>
      <c r="D222" s="1"/>
    </row>
    <row r="223" ht="15.75" customHeight="1">
      <c r="A223" s="1"/>
      <c r="B223" s="1"/>
      <c r="C223" s="1"/>
      <c r="D223" s="1"/>
    </row>
    <row r="224" ht="27.75" customHeight="1">
      <c r="A224" s="1"/>
      <c r="B224" s="8" t="s">
        <v>122</v>
      </c>
      <c r="C224" s="7"/>
      <c r="D224" s="1"/>
    </row>
    <row r="225" ht="57.75" customHeight="1">
      <c r="A225" s="1"/>
      <c r="B225" s="20" t="s">
        <v>123</v>
      </c>
      <c r="C225" s="7"/>
      <c r="D225" s="1"/>
    </row>
    <row r="226" ht="33.75" customHeight="1">
      <c r="A226" s="1"/>
      <c r="B226" s="10" t="s">
        <v>5</v>
      </c>
      <c r="C226" s="21" t="s">
        <v>124</v>
      </c>
      <c r="D226" s="1"/>
    </row>
    <row r="227" ht="33.75" customHeight="1">
      <c r="A227" s="1"/>
      <c r="B227" s="10" t="s">
        <v>7</v>
      </c>
      <c r="C227" s="21" t="s">
        <v>125</v>
      </c>
      <c r="D227" s="1"/>
    </row>
    <row r="228" ht="33.75" customHeight="1">
      <c r="A228" s="1"/>
      <c r="B228" s="10" t="s">
        <v>9</v>
      </c>
      <c r="C228" s="21" t="s">
        <v>126</v>
      </c>
      <c r="D228" s="1"/>
    </row>
    <row r="229" ht="33.75" customHeight="1">
      <c r="A229" s="1"/>
      <c r="B229" s="10" t="s">
        <v>11</v>
      </c>
      <c r="C229" s="21" t="s">
        <v>127</v>
      </c>
      <c r="D229" s="1"/>
    </row>
    <row r="230" ht="42.0" customHeight="1">
      <c r="A230" s="1"/>
      <c r="B230" s="12" t="s">
        <v>13</v>
      </c>
      <c r="C230" s="13"/>
      <c r="D230" s="1"/>
    </row>
    <row r="231" ht="39.75" customHeight="1">
      <c r="A231" s="1"/>
      <c r="B231" s="14" t="s">
        <v>14</v>
      </c>
      <c r="C231" s="15" t="str">
        <f>IF(C230="","← A〜Dを選んでや！",IF(C230="B","✅ 正解！ 素晴らしいで～！","❌ 不正解... 正解は B やで！"))</f>
        <v>← A〜Dを選んでや！</v>
      </c>
      <c r="D231" s="1"/>
    </row>
    <row r="232" ht="60.0" customHeight="1">
      <c r="A232" s="1"/>
      <c r="B232" s="16" t="s">
        <v>15</v>
      </c>
      <c r="C232" s="17" t="str">
        <f>IF(C230="","回答を選んでから解説が表示されるで！","正解は B やで！
みんながアクセスできるファイルを置く場所はサーバー（ファイルサーバー）やで！")</f>
        <v>回答を選んでから解説が表示されるで！</v>
      </c>
      <c r="D232" s="1"/>
    </row>
    <row r="233" ht="15.75" customHeight="1">
      <c r="A233" s="1"/>
      <c r="B233" s="1"/>
      <c r="C233" s="1"/>
      <c r="D233" s="1"/>
    </row>
    <row r="234" ht="27.75" customHeight="1">
      <c r="A234" s="1"/>
      <c r="B234" s="8" t="s">
        <v>128</v>
      </c>
      <c r="C234" s="7"/>
      <c r="D234" s="1"/>
    </row>
    <row r="235" ht="57.75" customHeight="1">
      <c r="A235" s="1"/>
      <c r="B235" s="20" t="s">
        <v>129</v>
      </c>
      <c r="C235" s="7"/>
      <c r="D235" s="1"/>
    </row>
    <row r="236" ht="33.75" customHeight="1">
      <c r="A236" s="1"/>
      <c r="B236" s="10" t="s">
        <v>5</v>
      </c>
      <c r="C236" s="11" t="s">
        <v>130</v>
      </c>
      <c r="D236" s="1"/>
    </row>
    <row r="237" ht="33.75" customHeight="1">
      <c r="A237" s="1"/>
      <c r="B237" s="10" t="s">
        <v>7</v>
      </c>
      <c r="C237" s="11" t="s">
        <v>131</v>
      </c>
      <c r="D237" s="1"/>
    </row>
    <row r="238" ht="33.75" customHeight="1">
      <c r="A238" s="1"/>
      <c r="B238" s="10" t="s">
        <v>9</v>
      </c>
      <c r="C238" s="11" t="s">
        <v>132</v>
      </c>
      <c r="D238" s="1"/>
    </row>
    <row r="239" ht="33.75" customHeight="1">
      <c r="A239" s="1"/>
      <c r="B239" s="10" t="s">
        <v>11</v>
      </c>
      <c r="C239" s="11" t="s">
        <v>133</v>
      </c>
      <c r="D239" s="1"/>
    </row>
    <row r="240" ht="42.0" customHeight="1">
      <c r="A240" s="1"/>
      <c r="B240" s="12" t="s">
        <v>13</v>
      </c>
      <c r="C240" s="13"/>
      <c r="D240" s="1"/>
    </row>
    <row r="241" ht="39.75" customHeight="1">
      <c r="A241" s="1"/>
      <c r="B241" s="14" t="s">
        <v>14</v>
      </c>
      <c r="C241" s="15" t="str">
        <f>IF(C240="","← A〜Dを選んでや！",IF(C240="A","✅ 正解！ 素晴らしいで～！","❌ 不正解... 正解は A やで！"))</f>
        <v>← A〜Dを選んでや！</v>
      </c>
      <c r="D241" s="1"/>
    </row>
    <row r="242" ht="79.5" customHeight="1">
      <c r="A242" s="1"/>
      <c r="B242" s="16" t="s">
        <v>15</v>
      </c>
      <c r="C242" s="17" t="str">
        <f>IF(C240="","回答を選んでから解説が表示されるで！","正解は A やで！
WPA2-Personal（WPA2-PSK）は事前共有キーで認証するやつやで！
WPA2-EnterpriseはRADIUSサーバーを使うで。")</f>
        <v>回答を選んでから解説が表示されるで！</v>
      </c>
      <c r="D242" s="1"/>
    </row>
    <row r="243" ht="15.75" customHeight="1">
      <c r="A243" s="1"/>
      <c r="B243" s="1"/>
      <c r="C243" s="1"/>
      <c r="D243" s="1"/>
    </row>
    <row r="244" ht="27.75" customHeight="1">
      <c r="A244" s="1"/>
      <c r="B244" s="8" t="s">
        <v>134</v>
      </c>
      <c r="C244" s="7"/>
      <c r="D244" s="1"/>
    </row>
    <row r="245" ht="18.0" customHeight="1">
      <c r="A245" s="1"/>
      <c r="B245" s="18" t="s">
        <v>135</v>
      </c>
      <c r="C245" s="19"/>
      <c r="D245" s="1"/>
    </row>
    <row r="246" ht="159.75" customHeight="1">
      <c r="A246" s="1"/>
      <c r="B246" s="1"/>
      <c r="C246" s="1"/>
      <c r="D246" s="1"/>
    </row>
    <row r="247" ht="57.75" customHeight="1">
      <c r="A247" s="1"/>
      <c r="B247" s="20" t="s">
        <v>136</v>
      </c>
      <c r="C247" s="7"/>
      <c r="D247" s="1"/>
    </row>
    <row r="248" ht="33.75" customHeight="1">
      <c r="A248" s="1"/>
      <c r="B248" s="10" t="s">
        <v>5</v>
      </c>
      <c r="C248" s="11" t="s">
        <v>137</v>
      </c>
      <c r="D248" s="1"/>
    </row>
    <row r="249" ht="33.75" customHeight="1">
      <c r="A249" s="1"/>
      <c r="B249" s="10" t="s">
        <v>7</v>
      </c>
      <c r="C249" s="11" t="s">
        <v>138</v>
      </c>
      <c r="D249" s="1"/>
    </row>
    <row r="250" ht="33.75" customHeight="1">
      <c r="A250" s="1"/>
      <c r="B250" s="10" t="s">
        <v>9</v>
      </c>
      <c r="C250" s="11" t="s">
        <v>139</v>
      </c>
      <c r="D250" s="1"/>
    </row>
    <row r="251" ht="33.75" customHeight="1">
      <c r="A251" s="1"/>
      <c r="B251" s="10" t="s">
        <v>11</v>
      </c>
      <c r="C251" s="11" t="s">
        <v>140</v>
      </c>
      <c r="D251" s="1"/>
    </row>
    <row r="252" ht="42.0" customHeight="1">
      <c r="A252" s="1"/>
      <c r="B252" s="12" t="s">
        <v>13</v>
      </c>
      <c r="C252" s="13"/>
      <c r="D252" s="1"/>
    </row>
    <row r="253" ht="39.75" customHeight="1">
      <c r="A253" s="1"/>
      <c r="B253" s="14" t="s">
        <v>14</v>
      </c>
      <c r="C253" s="15" t="str">
        <f>IF(C252="","← A〜Dを選んでや！",IF(C252="D","✅ 正解！ 素晴らしいで～！","❌ 不正解... 正解は D やで！"))</f>
        <v>← A〜Dを選んでや！</v>
      </c>
      <c r="D253" s="1"/>
    </row>
    <row r="254" ht="79.5" customHeight="1">
      <c r="A254" s="1"/>
      <c r="B254" s="16" t="s">
        <v>15</v>
      </c>
      <c r="C254" s="17" t="str">
        <f>IF(C252="","回答を選んでから解説が表示されるで！","正解は D やで！
個人の周りの超短距離ネットワークはPAN（Personal Area Network）やで！
【全答】2台のPC→LAN、同一市内の3ビル→MAN、携帯+Bluetooth→PAN、金融機関の支店接続→WAN")</f>
        <v>回答を選んでから解説が表示されるで！</v>
      </c>
      <c r="D254" s="1"/>
    </row>
    <row r="255" ht="15.75" customHeight="1">
      <c r="A255" s="1"/>
      <c r="B255" s="1"/>
      <c r="C255" s="1"/>
      <c r="D255" s="1"/>
    </row>
    <row r="256" ht="27.75" customHeight="1">
      <c r="A256" s="1"/>
      <c r="B256" s="8" t="s">
        <v>141</v>
      </c>
      <c r="C256" s="7"/>
      <c r="D256" s="1"/>
    </row>
    <row r="257" ht="57.75" customHeight="1">
      <c r="A257" s="1"/>
      <c r="B257" s="20" t="s">
        <v>142</v>
      </c>
      <c r="C257" s="7"/>
      <c r="D257" s="1"/>
    </row>
    <row r="258" ht="33.75" customHeight="1">
      <c r="A258" s="1"/>
      <c r="B258" s="10" t="s">
        <v>5</v>
      </c>
      <c r="C258" s="11" t="s">
        <v>143</v>
      </c>
      <c r="D258" s="1"/>
    </row>
    <row r="259" ht="33.75" customHeight="1">
      <c r="A259" s="1"/>
      <c r="B259" s="10" t="s">
        <v>7</v>
      </c>
      <c r="C259" s="11" t="s">
        <v>144</v>
      </c>
      <c r="D259" s="1"/>
    </row>
    <row r="260" ht="33.75" customHeight="1">
      <c r="A260" s="1"/>
      <c r="B260" s="10" t="s">
        <v>9</v>
      </c>
      <c r="C260" s="11" t="s">
        <v>145</v>
      </c>
      <c r="D260" s="1"/>
    </row>
    <row r="261" ht="33.75" customHeight="1">
      <c r="A261" s="1"/>
      <c r="B261" s="10" t="s">
        <v>11</v>
      </c>
      <c r="C261" s="11" t="s">
        <v>146</v>
      </c>
      <c r="D261" s="1"/>
    </row>
    <row r="262" ht="42.0" customHeight="1">
      <c r="A262" s="1"/>
      <c r="B262" s="12" t="s">
        <v>13</v>
      </c>
      <c r="C262" s="13"/>
      <c r="D262" s="1"/>
    </row>
    <row r="263" ht="39.75" customHeight="1">
      <c r="A263" s="1"/>
      <c r="B263" s="14" t="s">
        <v>14</v>
      </c>
      <c r="C263" s="15" t="str">
        <f>IF(C262="","← A〜Dを選んでや！",IF(C262="A","✅ 正解！ 素晴らしいで～！","❌ 不正解... 正解は A やで！"))</f>
        <v>← A〜Dを選んでや！</v>
      </c>
      <c r="D263" s="1"/>
    </row>
    <row r="264" ht="60.0" customHeight="1">
      <c r="A264" s="1"/>
      <c r="B264" s="16" t="s">
        <v>15</v>
      </c>
      <c r="C264" s="17" t="str">
        <f>IF(C262="","回答を選んでから解説が表示されるで！","正解は A やで！
SFTP（Secure File Transfer Protocol）はSSHを使った安全なファイル転送プロトコルやで！")</f>
        <v>回答を選んでから解説が表示されるで！</v>
      </c>
      <c r="D264" s="1"/>
    </row>
    <row r="265" ht="15.75" customHeight="1">
      <c r="A265" s="1"/>
      <c r="B265" s="1"/>
      <c r="C265" s="1"/>
      <c r="D265" s="1"/>
    </row>
    <row r="266" ht="27.75" customHeight="1">
      <c r="A266" s="1"/>
      <c r="B266" s="8" t="s">
        <v>147</v>
      </c>
      <c r="C266" s="7"/>
      <c r="D266" s="1"/>
    </row>
    <row r="267" ht="57.75" customHeight="1">
      <c r="A267" s="1"/>
      <c r="B267" s="9" t="s">
        <v>148</v>
      </c>
      <c r="C267" s="7"/>
      <c r="D267" s="1"/>
    </row>
    <row r="268" ht="33.75" customHeight="1">
      <c r="A268" s="1"/>
      <c r="B268" s="10" t="s">
        <v>5</v>
      </c>
      <c r="C268" s="21" t="s">
        <v>149</v>
      </c>
      <c r="D268" s="1"/>
    </row>
    <row r="269" ht="33.75" customHeight="1">
      <c r="A269" s="1"/>
      <c r="B269" s="10" t="s">
        <v>7</v>
      </c>
      <c r="C269" s="21" t="s">
        <v>150</v>
      </c>
      <c r="D269" s="1"/>
    </row>
    <row r="270" ht="33.75" customHeight="1">
      <c r="A270" s="1"/>
      <c r="B270" s="10" t="s">
        <v>9</v>
      </c>
      <c r="C270" s="21" t="s">
        <v>151</v>
      </c>
      <c r="D270" s="1"/>
    </row>
    <row r="271" ht="33.75" customHeight="1">
      <c r="A271" s="1"/>
      <c r="B271" s="10" t="s">
        <v>11</v>
      </c>
      <c r="C271" s="21" t="s">
        <v>152</v>
      </c>
      <c r="D271" s="1"/>
    </row>
    <row r="272" ht="42.0" customHeight="1">
      <c r="A272" s="1"/>
      <c r="B272" s="12" t="s">
        <v>13</v>
      </c>
      <c r="C272" s="13"/>
      <c r="D272" s="1"/>
    </row>
    <row r="273" ht="39.75" customHeight="1">
      <c r="A273" s="1"/>
      <c r="B273" s="14" t="s">
        <v>14</v>
      </c>
      <c r="C273" s="15" t="str">
        <f>IF(C272="","← A〜Dを選んでや！",IF(C272="B","✅ 正解！ 素晴らしいで～！","❌ 不正解... 正解は B やで！"))</f>
        <v>← A〜Dを選んでや！</v>
      </c>
      <c r="D273" s="1"/>
    </row>
    <row r="274" ht="60.0" customHeight="1">
      <c r="A274" s="1"/>
      <c r="B274" s="16" t="s">
        <v>15</v>
      </c>
      <c r="C274" s="17" t="str">
        <f>IF(C272="","回答を選んでから解説が表示されるで！","正解は B やで！
MACアドレスはデータリンク層（第2層）で使われるアドレスやで！スイッチがLayer 2デバイスやで。")</f>
        <v>回答を選んでから解説が表示されるで！</v>
      </c>
      <c r="D274" s="1"/>
    </row>
    <row r="275" ht="15.75" customHeight="1">
      <c r="A275" s="1"/>
      <c r="B275" s="1"/>
      <c r="C275" s="1"/>
      <c r="D275" s="1"/>
    </row>
    <row r="276" ht="27.75" customHeight="1">
      <c r="A276" s="1"/>
      <c r="B276" s="8" t="s">
        <v>153</v>
      </c>
      <c r="C276" s="7"/>
      <c r="D276" s="1"/>
    </row>
    <row r="277" ht="57.75" customHeight="1">
      <c r="A277" s="1"/>
      <c r="B277" s="20" t="s">
        <v>154</v>
      </c>
      <c r="C277" s="7"/>
      <c r="D277" s="1"/>
    </row>
    <row r="278" ht="33.75" customHeight="1">
      <c r="A278" s="1"/>
      <c r="B278" s="10" t="s">
        <v>5</v>
      </c>
      <c r="C278" s="21" t="s">
        <v>155</v>
      </c>
      <c r="D278" s="1"/>
    </row>
    <row r="279" ht="33.75" customHeight="1">
      <c r="A279" s="1"/>
      <c r="B279" s="10" t="s">
        <v>7</v>
      </c>
      <c r="C279" s="11" t="s">
        <v>156</v>
      </c>
      <c r="D279" s="1"/>
    </row>
    <row r="280" ht="33.75" customHeight="1">
      <c r="A280" s="1"/>
      <c r="B280" s="10" t="s">
        <v>9</v>
      </c>
      <c r="C280" s="11" t="s">
        <v>157</v>
      </c>
      <c r="D280" s="1"/>
    </row>
    <row r="281" ht="33.75" customHeight="1">
      <c r="A281" s="1"/>
      <c r="B281" s="10" t="s">
        <v>11</v>
      </c>
      <c r="C281" s="11" t="s">
        <v>158</v>
      </c>
      <c r="D281" s="1"/>
    </row>
    <row r="282" ht="42.0" customHeight="1">
      <c r="A282" s="1"/>
      <c r="B282" s="12" t="s">
        <v>13</v>
      </c>
      <c r="C282" s="13"/>
      <c r="D282" s="1"/>
    </row>
    <row r="283" ht="39.75" customHeight="1">
      <c r="A283" s="1"/>
      <c r="B283" s="14" t="s">
        <v>14</v>
      </c>
      <c r="C283" s="15" t="str">
        <f>IF(C282="","← A〜Dを選んでや！",IF(C282="C","✅ 正解！ 素晴らしいで～！","❌ 不正解... 正解は C やで！"))</f>
        <v>← A〜Dを選んでや！</v>
      </c>
      <c r="D283" s="1"/>
    </row>
    <row r="284" ht="60.0" customHeight="1">
      <c r="A284" s="1"/>
      <c r="B284" s="16" t="s">
        <v>15</v>
      </c>
      <c r="C284" s="17" t="str">
        <f>IF(C282="","回答を選んでから解説が表示されるで！","正解は C やで！
スイッチはMACアドレステーブルを参照して、どのポートにフレームを転送するか決めるんやで！")</f>
        <v>回答を選んでから解説が表示されるで！</v>
      </c>
      <c r="D284" s="1"/>
    </row>
    <row r="285" ht="15.75" customHeight="1">
      <c r="A285" s="1"/>
      <c r="B285" s="1"/>
      <c r="C285" s="1"/>
      <c r="D285" s="1"/>
    </row>
    <row r="286" ht="27.75" customHeight="1">
      <c r="A286" s="1"/>
      <c r="B286" s="8" t="s">
        <v>159</v>
      </c>
      <c r="C286" s="7"/>
      <c r="D286" s="1"/>
    </row>
    <row r="287" ht="57.75" customHeight="1">
      <c r="A287" s="1"/>
      <c r="B287" s="9" t="s">
        <v>160</v>
      </c>
      <c r="C287" s="7"/>
      <c r="D287" s="1"/>
    </row>
    <row r="288" ht="33.75" customHeight="1">
      <c r="A288" s="1"/>
      <c r="B288" s="10" t="s">
        <v>5</v>
      </c>
      <c r="C288" s="11" t="s">
        <v>25</v>
      </c>
      <c r="D288" s="1"/>
    </row>
    <row r="289" ht="33.75" customHeight="1">
      <c r="A289" s="1"/>
      <c r="B289" s="10" t="s">
        <v>7</v>
      </c>
      <c r="C289" s="21" t="s">
        <v>161</v>
      </c>
      <c r="D289" s="1"/>
    </row>
    <row r="290" ht="33.75" customHeight="1">
      <c r="A290" s="1"/>
      <c r="B290" s="10" t="s">
        <v>9</v>
      </c>
      <c r="C290" s="11" t="s">
        <v>28</v>
      </c>
      <c r="D290" s="1"/>
    </row>
    <row r="291" ht="33.75" customHeight="1">
      <c r="A291" s="1"/>
      <c r="B291" s="10" t="s">
        <v>11</v>
      </c>
      <c r="C291" s="11" t="s">
        <v>162</v>
      </c>
      <c r="D291" s="1"/>
    </row>
    <row r="292" ht="42.0" customHeight="1">
      <c r="A292" s="1"/>
      <c r="B292" s="12" t="s">
        <v>13</v>
      </c>
      <c r="C292" s="13"/>
      <c r="D292" s="1"/>
    </row>
    <row r="293" ht="39.75" customHeight="1">
      <c r="A293" s="1"/>
      <c r="B293" s="14" t="s">
        <v>14</v>
      </c>
      <c r="C293" s="15" t="str">
        <f>IF(C292="","← A〜Dを選んでや！",IF(C292="C","✅ 正解！ 素晴らしいで～！","❌ 不正解... 正解は C やで！"))</f>
        <v>← A〜Dを選んでや！</v>
      </c>
      <c r="D293" s="1"/>
    </row>
    <row r="294" ht="60.0" customHeight="1">
      <c r="A294" s="1"/>
      <c r="B294" s="16" t="s">
        <v>15</v>
      </c>
      <c r="C294" s="17" t="str">
        <f>IF(C292="","回答を選んでから解説が表示されるで！","正解は C やで！
MACアドレスはNICに固定で焼き込まれとるもので、DHCPは割り当てへんで～")</f>
        <v>回答を選んでから解説が表示されるで！</v>
      </c>
      <c r="D294" s="1"/>
    </row>
    <row r="295" ht="15.75" customHeight="1">
      <c r="A295" s="1"/>
      <c r="B295" s="1"/>
      <c r="C295" s="1"/>
      <c r="D295" s="1"/>
    </row>
    <row r="296" ht="27.75" customHeight="1">
      <c r="A296" s="1"/>
      <c r="B296" s="8" t="s">
        <v>163</v>
      </c>
      <c r="C296" s="7"/>
      <c r="D296" s="1"/>
    </row>
    <row r="297" ht="57.75" customHeight="1">
      <c r="A297" s="1"/>
      <c r="B297" s="20" t="s">
        <v>164</v>
      </c>
      <c r="C297" s="7"/>
      <c r="D297" s="1"/>
    </row>
    <row r="298" ht="33.75" customHeight="1">
      <c r="A298" s="1"/>
      <c r="B298" s="10" t="s">
        <v>5</v>
      </c>
      <c r="C298" s="11" t="s">
        <v>165</v>
      </c>
      <c r="D298" s="1"/>
    </row>
    <row r="299" ht="33.75" customHeight="1">
      <c r="A299" s="1"/>
      <c r="B299" s="10" t="s">
        <v>7</v>
      </c>
      <c r="C299" s="11" t="s">
        <v>166</v>
      </c>
      <c r="D299" s="1"/>
    </row>
    <row r="300" ht="33.75" customHeight="1">
      <c r="A300" s="1"/>
      <c r="B300" s="10" t="s">
        <v>9</v>
      </c>
      <c r="C300" s="11" t="s">
        <v>167</v>
      </c>
      <c r="D300" s="1"/>
    </row>
    <row r="301" ht="33.75" customHeight="1">
      <c r="A301" s="1"/>
      <c r="B301" s="10" t="s">
        <v>11</v>
      </c>
      <c r="C301" s="11" t="s">
        <v>168</v>
      </c>
      <c r="D301" s="1"/>
    </row>
    <row r="302" ht="42.0" customHeight="1">
      <c r="A302" s="1"/>
      <c r="B302" s="12" t="s">
        <v>13</v>
      </c>
      <c r="C302" s="13"/>
      <c r="D302" s="1"/>
    </row>
    <row r="303" ht="39.75" customHeight="1">
      <c r="A303" s="1"/>
      <c r="B303" s="14" t="s">
        <v>14</v>
      </c>
      <c r="C303" s="15" t="str">
        <f>IF(C302="","← A〜Dを選んでや！",IF(C302="C","✅ 正解！ 素晴らしいで～！","❌ 不正解... 正解は C やで！"))</f>
        <v>← A〜Dを選んでや！</v>
      </c>
      <c r="D303" s="1"/>
    </row>
    <row r="304" ht="60.0" customHeight="1">
      <c r="A304" s="1"/>
      <c r="B304" s="16" t="s">
        <v>15</v>
      </c>
      <c r="C304" s="17" t="str">
        <f>IF(C302="","回答を選んでから解説が表示されるで！","正解は C やで！
HTTPSは443番ポートを使うんやで！HTTP=80、FTP=21、SSH=22やで。")</f>
        <v>回答を選んでから解説が表示されるで！</v>
      </c>
      <c r="D304" s="1"/>
    </row>
    <row r="305" ht="15.75" customHeight="1">
      <c r="A305" s="1"/>
      <c r="B305" s="1"/>
      <c r="C305" s="1"/>
      <c r="D305" s="1"/>
    </row>
    <row r="306" ht="27.75" customHeight="1">
      <c r="A306" s="1"/>
      <c r="B306" s="8" t="s">
        <v>169</v>
      </c>
      <c r="C306" s="7"/>
      <c r="D306" s="1"/>
    </row>
    <row r="307" ht="57.75" customHeight="1">
      <c r="A307" s="1"/>
      <c r="B307" s="9" t="s">
        <v>170</v>
      </c>
      <c r="C307" s="7"/>
      <c r="D307" s="1"/>
    </row>
    <row r="308" ht="33.75" customHeight="1">
      <c r="A308" s="1"/>
      <c r="B308" s="10" t="s">
        <v>5</v>
      </c>
      <c r="C308" s="21" t="s">
        <v>171</v>
      </c>
      <c r="D308" s="1"/>
    </row>
    <row r="309" ht="33.75" customHeight="1">
      <c r="A309" s="1"/>
      <c r="B309" s="10" t="s">
        <v>7</v>
      </c>
      <c r="C309" s="11" t="s">
        <v>172</v>
      </c>
      <c r="D309" s="1"/>
    </row>
    <row r="310" ht="33.75" customHeight="1">
      <c r="A310" s="1"/>
      <c r="B310" s="10" t="s">
        <v>9</v>
      </c>
      <c r="C310" s="11" t="s">
        <v>173</v>
      </c>
      <c r="D310" s="1"/>
    </row>
    <row r="311" ht="33.75" customHeight="1">
      <c r="A311" s="1"/>
      <c r="B311" s="10" t="s">
        <v>11</v>
      </c>
      <c r="C311" s="21" t="s">
        <v>174</v>
      </c>
      <c r="D311" s="1"/>
    </row>
    <row r="312" ht="42.0" customHeight="1">
      <c r="A312" s="1"/>
      <c r="B312" s="12" t="s">
        <v>13</v>
      </c>
      <c r="C312" s="13"/>
      <c r="D312" s="1"/>
    </row>
    <row r="313" ht="39.75" customHeight="1">
      <c r="A313" s="1"/>
      <c r="B313" s="14" t="s">
        <v>14</v>
      </c>
      <c r="C313" s="15" t="str">
        <f>IF(C312="","← A〜Dを選んでや！",IF(C312="C","✅ 正解！ 素晴らしいで～！","❌ 不正解... 正解は C やで！"))</f>
        <v>← A〜Dを選んでや！</v>
      </c>
      <c r="D313" s="1"/>
    </row>
    <row r="314" ht="60.0" customHeight="1">
      <c r="A314" s="1"/>
      <c r="B314" s="16" t="s">
        <v>15</v>
      </c>
      <c r="C314" s="17" t="str">
        <f>IF(C312="","回答を選んでから解説が表示されるで！","正解は C やで！
ARPはIPアドレスからMACアドレスを調べるプロトコルやで！")</f>
        <v>回答を選んでから解説が表示されるで！</v>
      </c>
      <c r="D314" s="1"/>
    </row>
    <row r="315" ht="15.75" customHeight="1">
      <c r="A315" s="1"/>
      <c r="B315" s="1"/>
      <c r="C315" s="1"/>
      <c r="D315" s="1"/>
    </row>
    <row r="316" ht="27.75" customHeight="1">
      <c r="A316" s="1"/>
      <c r="B316" s="8" t="s">
        <v>175</v>
      </c>
      <c r="C316" s="7"/>
      <c r="D316" s="1"/>
    </row>
    <row r="317" ht="57.75" customHeight="1">
      <c r="A317" s="1"/>
      <c r="B317" s="9" t="s">
        <v>176</v>
      </c>
      <c r="C317" s="7"/>
      <c r="D317" s="1"/>
    </row>
    <row r="318" ht="33.75" customHeight="1">
      <c r="A318" s="1"/>
      <c r="B318" s="10" t="s">
        <v>5</v>
      </c>
      <c r="C318" s="21" t="s">
        <v>177</v>
      </c>
      <c r="D318" s="1"/>
    </row>
    <row r="319" ht="33.75" customHeight="1">
      <c r="A319" s="1"/>
      <c r="B319" s="10" t="s">
        <v>7</v>
      </c>
      <c r="C319" s="21" t="s">
        <v>178</v>
      </c>
      <c r="D319" s="1"/>
    </row>
    <row r="320" ht="33.75" customHeight="1">
      <c r="A320" s="1"/>
      <c r="B320" s="10" t="s">
        <v>9</v>
      </c>
      <c r="C320" s="21" t="s">
        <v>179</v>
      </c>
      <c r="D320" s="1"/>
    </row>
    <row r="321" ht="33.75" customHeight="1">
      <c r="A321" s="1"/>
      <c r="B321" s="10" t="s">
        <v>11</v>
      </c>
      <c r="C321" s="11" t="s">
        <v>180</v>
      </c>
      <c r="D321" s="1"/>
    </row>
    <row r="322" ht="42.0" customHeight="1">
      <c r="A322" s="1"/>
      <c r="B322" s="12" t="s">
        <v>13</v>
      </c>
      <c r="C322" s="13"/>
      <c r="D322" s="1"/>
    </row>
    <row r="323" ht="39.75" customHeight="1">
      <c r="A323" s="1"/>
      <c r="B323" s="14" t="s">
        <v>14</v>
      </c>
      <c r="C323" s="15" t="str">
        <f>IF(C322="","← A〜Dを選んでや！",IF(C322="B","✅ 正解！ 素晴らしいで～！","❌ 不正解... 正解は B やで！"))</f>
        <v>← A〜Dを選んでや！</v>
      </c>
      <c r="D323" s="1"/>
    </row>
    <row r="324" ht="60.0" customHeight="1">
      <c r="A324" s="1"/>
      <c r="B324" s="16" t="s">
        <v>15</v>
      </c>
      <c r="C324" s="17" t="str">
        <f>IF(C322="","回答を選んでから解説が表示されるで！","正解は B やで！
VLAN（Virtual LAN）はネットワークを論理的に分割して、ブロードキャストドメインを小さくするために使うんやで！")</f>
        <v>回答を選んでから解説が表示されるで！</v>
      </c>
      <c r="D324" s="1"/>
    </row>
    <row r="325" ht="15.75" customHeight="1">
      <c r="A325" s="1"/>
      <c r="B325" s="1"/>
      <c r="C325" s="1"/>
      <c r="D325" s="1"/>
    </row>
    <row r="326" ht="27.75" customHeight="1">
      <c r="A326" s="1"/>
      <c r="B326" s="8" t="s">
        <v>181</v>
      </c>
      <c r="C326" s="7"/>
      <c r="D326" s="1"/>
    </row>
    <row r="327" ht="57.75" customHeight="1">
      <c r="A327" s="1"/>
      <c r="B327" s="9" t="s">
        <v>182</v>
      </c>
      <c r="C327" s="7"/>
      <c r="D327" s="1"/>
    </row>
    <row r="328" ht="33.75" customHeight="1">
      <c r="A328" s="1"/>
      <c r="B328" s="10" t="s">
        <v>5</v>
      </c>
      <c r="C328" s="21" t="s">
        <v>183</v>
      </c>
      <c r="D328" s="1"/>
    </row>
    <row r="329" ht="33.75" customHeight="1">
      <c r="A329" s="1"/>
      <c r="B329" s="10" t="s">
        <v>7</v>
      </c>
      <c r="C329" s="21" t="s">
        <v>184</v>
      </c>
      <c r="D329" s="1"/>
    </row>
    <row r="330" ht="33.75" customHeight="1">
      <c r="A330" s="1"/>
      <c r="B330" s="10" t="s">
        <v>9</v>
      </c>
      <c r="C330" s="11" t="s">
        <v>185</v>
      </c>
      <c r="D330" s="1"/>
    </row>
    <row r="331" ht="33.75" customHeight="1">
      <c r="A331" s="1"/>
      <c r="B331" s="10" t="s">
        <v>11</v>
      </c>
      <c r="C331" s="21" t="s">
        <v>171</v>
      </c>
      <c r="D331" s="1"/>
    </row>
    <row r="332" ht="42.0" customHeight="1">
      <c r="A332" s="1"/>
      <c r="B332" s="12" t="s">
        <v>13</v>
      </c>
      <c r="C332" s="13"/>
      <c r="D332" s="1"/>
    </row>
    <row r="333" ht="39.75" customHeight="1">
      <c r="A333" s="1"/>
      <c r="B333" s="14" t="s">
        <v>14</v>
      </c>
      <c r="C333" s="15" t="str">
        <f>IF(C332="","← A〜Dを選んでや！",IF(C332="B","✅ 正解！ 素晴らしいで～！","❌ 不正解... 正解は B やで！"))</f>
        <v>← A〜Dを選んでや！</v>
      </c>
      <c r="D333" s="1"/>
    </row>
    <row r="334" ht="60.0" customHeight="1">
      <c r="A334" s="1"/>
      <c r="B334" s="16" t="s">
        <v>15</v>
      </c>
      <c r="C334" s="17" t="str">
        <f>IF(C332="","回答を選んでから解説が表示されるで！","正解は B やで！
NATはプライベートIP（192.168.x.xなど）をパブリックIPに変換して、複数デバイスが1つのグローバルIPでインターネット接続できるようにするんやで！")</f>
        <v>回答を選んでから解説が表示されるで！</v>
      </c>
      <c r="D334" s="1"/>
    </row>
    <row r="335" ht="15.75" customHeight="1">
      <c r="A335" s="1"/>
      <c r="B335" s="1"/>
      <c r="C335" s="1"/>
      <c r="D335" s="1"/>
    </row>
    <row r="336" ht="27.75" customHeight="1">
      <c r="A336" s="1"/>
      <c r="B336" s="8" t="s">
        <v>186</v>
      </c>
      <c r="C336" s="7"/>
      <c r="D336" s="1"/>
    </row>
    <row r="337" ht="57.75" customHeight="1">
      <c r="A337" s="1"/>
      <c r="B337" s="9" t="s">
        <v>187</v>
      </c>
      <c r="C337" s="7"/>
      <c r="D337" s="1"/>
    </row>
    <row r="338" ht="33.75" customHeight="1">
      <c r="A338" s="1"/>
      <c r="B338" s="10" t="s">
        <v>5</v>
      </c>
      <c r="C338" s="11" t="s">
        <v>188</v>
      </c>
      <c r="D338" s="1"/>
    </row>
    <row r="339" ht="33.75" customHeight="1">
      <c r="A339" s="1"/>
      <c r="B339" s="10" t="s">
        <v>7</v>
      </c>
      <c r="C339" s="21" t="s">
        <v>189</v>
      </c>
      <c r="D339" s="1"/>
    </row>
    <row r="340" ht="33.75" customHeight="1">
      <c r="A340" s="1"/>
      <c r="B340" s="10" t="s">
        <v>9</v>
      </c>
      <c r="C340" s="21" t="s">
        <v>190</v>
      </c>
      <c r="D340" s="1"/>
    </row>
    <row r="341" ht="33.75" customHeight="1">
      <c r="A341" s="1"/>
      <c r="B341" s="10" t="s">
        <v>11</v>
      </c>
      <c r="C341" s="21" t="s">
        <v>191</v>
      </c>
      <c r="D341" s="1"/>
    </row>
    <row r="342" ht="42.0" customHeight="1">
      <c r="A342" s="1"/>
      <c r="B342" s="12" t="s">
        <v>13</v>
      </c>
      <c r="C342" s="13"/>
      <c r="D342" s="1"/>
    </row>
    <row r="343" ht="39.75" customHeight="1">
      <c r="A343" s="1"/>
      <c r="B343" s="14" t="s">
        <v>14</v>
      </c>
      <c r="C343" s="15" t="str">
        <f>IF(C342="","← A〜Dを選んでや！",IF(C342="C","✅ 正解！ 素晴らしいで～！","❌ 不正解... 正解は C やで！"))</f>
        <v>← A〜Dを選んでや！</v>
      </c>
      <c r="D343" s="1"/>
    </row>
    <row r="344" ht="79.5" customHeight="1">
      <c r="A344" s="1"/>
      <c r="B344" s="16" t="s">
        <v>15</v>
      </c>
      <c r="C344" s="17" t="str">
        <f>IF(C342="","回答を選んでから解説が表示されるで！","正解は C やで！
SSHはネットワーク機器にセキュアにリモートアクセスするためのプロトコルやで！
通信が暗号化されるからTelnetより安全やで。ポートは22番やで！")</f>
        <v>回答を選んでから解説が表示されるで！</v>
      </c>
      <c r="D344" s="1"/>
    </row>
    <row r="345" ht="15.75" customHeight="1">
      <c r="A345" s="1"/>
      <c r="B345" s="1"/>
      <c r="C345" s="1"/>
      <c r="D345" s="1"/>
    </row>
    <row r="346" ht="27.75" customHeight="1">
      <c r="A346" s="1"/>
      <c r="B346" s="8" t="s">
        <v>192</v>
      </c>
      <c r="C346" s="7"/>
      <c r="D346" s="1"/>
    </row>
    <row r="347" ht="57.75" customHeight="1">
      <c r="A347" s="1"/>
      <c r="B347" s="9" t="s">
        <v>193</v>
      </c>
      <c r="C347" s="7"/>
      <c r="D347" s="1"/>
    </row>
    <row r="348" ht="33.75" customHeight="1">
      <c r="A348" s="1"/>
      <c r="B348" s="10" t="s">
        <v>5</v>
      </c>
      <c r="C348" s="11" t="s">
        <v>194</v>
      </c>
      <c r="D348" s="1"/>
    </row>
    <row r="349" ht="33.75" customHeight="1">
      <c r="A349" s="1"/>
      <c r="B349" s="10" t="s">
        <v>7</v>
      </c>
      <c r="C349" s="11" t="s">
        <v>195</v>
      </c>
      <c r="D349" s="1"/>
    </row>
    <row r="350" ht="33.75" customHeight="1">
      <c r="A350" s="1"/>
      <c r="B350" s="10" t="s">
        <v>9</v>
      </c>
      <c r="C350" s="11" t="s">
        <v>196</v>
      </c>
      <c r="D350" s="1"/>
    </row>
    <row r="351" ht="33.75" customHeight="1">
      <c r="A351" s="1"/>
      <c r="B351" s="10" t="s">
        <v>11</v>
      </c>
      <c r="C351" s="11" t="s">
        <v>197</v>
      </c>
      <c r="D351" s="1"/>
    </row>
    <row r="352" ht="42.0" customHeight="1">
      <c r="A352" s="1"/>
      <c r="B352" s="12" t="s">
        <v>13</v>
      </c>
      <c r="C352" s="13"/>
      <c r="D352" s="1"/>
    </row>
    <row r="353" ht="39.75" customHeight="1">
      <c r="A353" s="1"/>
      <c r="B353" s="14" t="s">
        <v>14</v>
      </c>
      <c r="C353" s="15" t="str">
        <f>IF(C352="","← A〜Dを選んでや！",IF(C352="C","✅ 正解！ 素晴らしいで～！","❌ 不正解... 正解は C やで！"))</f>
        <v>← A〜Dを選んでや！</v>
      </c>
      <c r="D353" s="1"/>
    </row>
    <row r="354" ht="60.0" customHeight="1">
      <c r="A354" s="1"/>
      <c r="B354" s="16" t="s">
        <v>15</v>
      </c>
      <c r="C354" s="17" t="str">
        <f>IF(C352="","回答を選んでから解説が表示されるで！","正解は C やで！
/24 は8ビットがホスト部やから 2^8=256 個のアドレスがあるんやけど、ネットワークアドレス（.0）とブロードキャストアドレス（.255）を引いて 256-2=254 個が使えるで！")</f>
        <v>回答を選んでから解説が表示されるで！</v>
      </c>
      <c r="D354" s="1"/>
    </row>
    <row r="355" ht="15.75" customHeight="1">
      <c r="A355" s="1"/>
      <c r="B355" s="1"/>
      <c r="C355" s="1"/>
      <c r="D355" s="1"/>
    </row>
    <row r="356" ht="27.75" customHeight="1">
      <c r="A356" s="1"/>
      <c r="B356" s="8" t="s">
        <v>198</v>
      </c>
      <c r="C356" s="7"/>
      <c r="D356" s="1"/>
    </row>
    <row r="357" ht="57.75" customHeight="1">
      <c r="A357" s="1"/>
      <c r="B357" s="9" t="s">
        <v>199</v>
      </c>
      <c r="C357" s="7"/>
      <c r="D357" s="1"/>
    </row>
    <row r="358" ht="33.75" customHeight="1">
      <c r="A358" s="1"/>
      <c r="B358" s="10" t="s">
        <v>5</v>
      </c>
      <c r="C358" s="11" t="s">
        <v>200</v>
      </c>
      <c r="D358" s="1"/>
    </row>
    <row r="359" ht="33.75" customHeight="1">
      <c r="A359" s="1"/>
      <c r="B359" s="10" t="s">
        <v>7</v>
      </c>
      <c r="C359" s="11" t="s">
        <v>201</v>
      </c>
      <c r="D359" s="1"/>
    </row>
    <row r="360" ht="33.75" customHeight="1">
      <c r="A360" s="1"/>
      <c r="B360" s="10" t="s">
        <v>9</v>
      </c>
      <c r="C360" s="11" t="s">
        <v>202</v>
      </c>
      <c r="D360" s="1"/>
    </row>
    <row r="361" ht="33.75" customHeight="1">
      <c r="A361" s="1"/>
      <c r="B361" s="10" t="s">
        <v>11</v>
      </c>
      <c r="C361" s="11" t="s">
        <v>203</v>
      </c>
      <c r="D361" s="1"/>
    </row>
    <row r="362" ht="42.0" customHeight="1">
      <c r="A362" s="1"/>
      <c r="B362" s="12" t="s">
        <v>13</v>
      </c>
      <c r="C362" s="13"/>
      <c r="D362" s="1"/>
    </row>
    <row r="363" ht="39.75" customHeight="1">
      <c r="A363" s="1"/>
      <c r="B363" s="14" t="s">
        <v>14</v>
      </c>
      <c r="C363" s="15" t="str">
        <f>IF(C362="","← A〜Dを選んでや！",IF(C362="A","✅ 正解！ 素晴らしいで～！","❌ 不正解... 正解は A やで！"))</f>
        <v>← A〜Dを選んでや！</v>
      </c>
      <c r="D363" s="1"/>
    </row>
    <row r="364" ht="60.0" customHeight="1">
      <c r="A364" s="1"/>
      <c r="B364" s="16" t="s">
        <v>15</v>
      </c>
      <c r="C364" s="17" t="str">
        <f>IF(C362="","回答を選んでから解説が表示されるで！","正解は A やで！
show ip route はルーティングテーブルを表示するコマンドやで！")</f>
        <v>回答を選んでから解説が表示されるで！</v>
      </c>
      <c r="D364" s="1"/>
    </row>
    <row r="365" ht="15.75" customHeight="1">
      <c r="A365" s="1"/>
      <c r="B365" s="1"/>
      <c r="C365" s="1"/>
      <c r="D365" s="1"/>
    </row>
    <row r="366" ht="27.75" customHeight="1">
      <c r="A366" s="1"/>
      <c r="B366" s="8" t="s">
        <v>204</v>
      </c>
      <c r="C366" s="7"/>
      <c r="D366" s="1"/>
    </row>
    <row r="367" ht="57.75" customHeight="1">
      <c r="A367" s="1"/>
      <c r="B367" s="9" t="s">
        <v>205</v>
      </c>
      <c r="C367" s="7"/>
      <c r="D367" s="1"/>
    </row>
    <row r="368" ht="33.75" customHeight="1">
      <c r="A368" s="1"/>
      <c r="B368" s="10" t="s">
        <v>5</v>
      </c>
      <c r="C368" s="11" t="s">
        <v>206</v>
      </c>
      <c r="D368" s="1"/>
    </row>
    <row r="369" ht="33.75" customHeight="1">
      <c r="A369" s="1"/>
      <c r="B369" s="10" t="s">
        <v>7</v>
      </c>
      <c r="C369" s="11" t="s">
        <v>207</v>
      </c>
      <c r="D369" s="1"/>
    </row>
    <row r="370" ht="33.75" customHeight="1">
      <c r="A370" s="1"/>
      <c r="B370" s="10" t="s">
        <v>9</v>
      </c>
      <c r="C370" s="11" t="s">
        <v>208</v>
      </c>
      <c r="D370" s="1"/>
    </row>
    <row r="371" ht="33.75" customHeight="1">
      <c r="A371" s="1"/>
      <c r="B371" s="10" t="s">
        <v>11</v>
      </c>
      <c r="C371" s="21" t="s">
        <v>209</v>
      </c>
      <c r="D371" s="1"/>
    </row>
    <row r="372" ht="42.0" customHeight="1">
      <c r="A372" s="1"/>
      <c r="B372" s="12" t="s">
        <v>13</v>
      </c>
      <c r="C372" s="13"/>
      <c r="D372" s="1"/>
    </row>
    <row r="373" ht="39.75" customHeight="1">
      <c r="A373" s="1"/>
      <c r="B373" s="14" t="s">
        <v>14</v>
      </c>
      <c r="C373" s="15" t="str">
        <f>IF(C372="","← A〜Dを選んでや！",IF(C372="B","✅ 正解！ 素晴らしいで～！","❌ 不正解... 正解は B やで！"))</f>
        <v>← A〜Dを選んでや！</v>
      </c>
      <c r="D373" s="1"/>
    </row>
    <row r="374" ht="79.5" customHeight="1">
      <c r="A374" s="1"/>
      <c r="B374" s="16" t="s">
        <v>15</v>
      </c>
      <c r="C374" s="17" t="str">
        <f>IF(C372="","回答を選んでから解説が表示されるで！","正解は B やで！
IEEE 802.3af/at はPoE（Power over Ethernet）の規格やで！
イーサネットケーブルで電力も供給できる技術やで～")</f>
        <v>回答を選んでから解説が表示されるで！</v>
      </c>
      <c r="D374" s="1"/>
    </row>
    <row r="375" ht="15.75" customHeight="1">
      <c r="A375" s="1"/>
      <c r="B375" s="1"/>
      <c r="C375" s="1"/>
      <c r="D375" s="1"/>
    </row>
    <row r="376" ht="27.75" customHeight="1">
      <c r="A376" s="1"/>
      <c r="B376" s="8" t="s">
        <v>210</v>
      </c>
      <c r="C376" s="7"/>
      <c r="D376" s="1"/>
    </row>
    <row r="377" ht="57.75" customHeight="1">
      <c r="A377" s="1"/>
      <c r="B377" s="9" t="s">
        <v>211</v>
      </c>
      <c r="C377" s="7"/>
      <c r="D377" s="1"/>
    </row>
    <row r="378" ht="33.75" customHeight="1">
      <c r="A378" s="1"/>
      <c r="B378" s="10" t="s">
        <v>5</v>
      </c>
      <c r="C378" s="11" t="s">
        <v>212</v>
      </c>
      <c r="D378" s="1"/>
    </row>
    <row r="379" ht="33.75" customHeight="1">
      <c r="A379" s="1"/>
      <c r="B379" s="10" t="s">
        <v>7</v>
      </c>
      <c r="C379" s="11" t="s">
        <v>213</v>
      </c>
      <c r="D379" s="1"/>
    </row>
    <row r="380" ht="33.75" customHeight="1">
      <c r="A380" s="1"/>
      <c r="B380" s="10" t="s">
        <v>9</v>
      </c>
      <c r="C380" s="11" t="s">
        <v>214</v>
      </c>
      <c r="D380" s="1"/>
    </row>
    <row r="381" ht="33.75" customHeight="1">
      <c r="A381" s="1"/>
      <c r="B381" s="10" t="s">
        <v>11</v>
      </c>
      <c r="C381" s="11" t="s">
        <v>215</v>
      </c>
      <c r="D381" s="1"/>
    </row>
    <row r="382" ht="42.0" customHeight="1">
      <c r="A382" s="1"/>
      <c r="B382" s="12" t="s">
        <v>13</v>
      </c>
      <c r="C382" s="13"/>
      <c r="D382" s="1"/>
    </row>
    <row r="383" ht="39.75" customHeight="1">
      <c r="A383" s="1"/>
      <c r="B383" s="14" t="s">
        <v>14</v>
      </c>
      <c r="C383" s="15" t="str">
        <f>IF(C382="","← A〜Dを選んでや！",IF(C382="B","✅ 正解！ 素晴らしいで～！","❌ 不正解... 正解は B やで！"))</f>
        <v>← A〜Dを選んでや！</v>
      </c>
      <c r="D383" s="1"/>
    </row>
    <row r="384" ht="60.0" customHeight="1">
      <c r="A384" s="1"/>
      <c r="B384" s="16" t="s">
        <v>15</v>
      </c>
      <c r="C384" s="17" t="str">
        <f>IF(C382="","回答を選んでから解説が表示されるで！","正解は B やで！
データリンク層はLLC（論理リンク制御）とMAC（メディアアクセス制御）の2つのサブ層を持っとるで！")</f>
        <v>回答を選んでから解説が表示されるで！</v>
      </c>
      <c r="D384" s="1"/>
    </row>
    <row r="385" ht="15.75" customHeight="1">
      <c r="A385" s="1"/>
      <c r="B385" s="1"/>
      <c r="C385" s="1"/>
      <c r="D385" s="1"/>
    </row>
    <row r="386" ht="27.75" customHeight="1">
      <c r="A386" s="1"/>
      <c r="B386" s="8" t="s">
        <v>216</v>
      </c>
      <c r="C386" s="7"/>
      <c r="D386" s="1"/>
    </row>
    <row r="387" ht="57.75" customHeight="1">
      <c r="A387" s="1"/>
      <c r="B387" s="9" t="s">
        <v>217</v>
      </c>
      <c r="C387" s="7"/>
      <c r="D387" s="1"/>
    </row>
    <row r="388" ht="33.75" customHeight="1">
      <c r="A388" s="1"/>
      <c r="B388" s="10" t="s">
        <v>5</v>
      </c>
      <c r="C388" s="21" t="s">
        <v>218</v>
      </c>
      <c r="D388" s="1"/>
    </row>
    <row r="389" ht="33.75" customHeight="1">
      <c r="A389" s="1"/>
      <c r="B389" s="10" t="s">
        <v>7</v>
      </c>
      <c r="C389" s="21" t="s">
        <v>219</v>
      </c>
      <c r="D389" s="1"/>
    </row>
    <row r="390" ht="33.75" customHeight="1">
      <c r="A390" s="1"/>
      <c r="B390" s="10" t="s">
        <v>9</v>
      </c>
      <c r="C390" s="11" t="s">
        <v>220</v>
      </c>
      <c r="D390" s="1"/>
    </row>
    <row r="391" ht="33.75" customHeight="1">
      <c r="A391" s="1"/>
      <c r="B391" s="10" t="s">
        <v>11</v>
      </c>
      <c r="C391" s="21" t="s">
        <v>221</v>
      </c>
      <c r="D391" s="1"/>
    </row>
    <row r="392" ht="42.0" customHeight="1">
      <c r="A392" s="1"/>
      <c r="B392" s="12" t="s">
        <v>13</v>
      </c>
      <c r="C392" s="13"/>
      <c r="D392" s="1"/>
    </row>
    <row r="393" ht="39.75" customHeight="1">
      <c r="A393" s="1"/>
      <c r="B393" s="14" t="s">
        <v>14</v>
      </c>
      <c r="C393" s="15" t="str">
        <f>IF(C392="","← A〜Dを選んでや！",IF(C392="B","✅ 正解！ 素晴らしいで～！","❌ 不正解... 正解は B やで！"))</f>
        <v>← A〜Dを選んでや！</v>
      </c>
      <c r="D393" s="1"/>
    </row>
    <row r="394" ht="60.0" customHeight="1">
      <c r="A394" s="1"/>
      <c r="B394" s="16" t="s">
        <v>15</v>
      </c>
      <c r="C394" s="17" t="str">
        <f>IF(C392="","回答を選んでから解説が表示されるで！","正解は B やで！
QoSはネットワークトラフィックに優先順位をつけて、音声・動画通話などのリアルタイムサービスが遅延なく通信できるようにする仕組みやで！")</f>
        <v>回答を選んでから解説が表示されるで！</v>
      </c>
      <c r="D394" s="1"/>
    </row>
    <row r="395" ht="15.75" customHeight="1">
      <c r="A395" s="1"/>
      <c r="B395" s="1"/>
      <c r="C395" s="1"/>
      <c r="D395" s="1"/>
    </row>
    <row r="396" ht="27.75" customHeight="1">
      <c r="A396" s="1"/>
      <c r="B396" s="8" t="s">
        <v>222</v>
      </c>
      <c r="C396" s="7"/>
      <c r="D396" s="1"/>
    </row>
    <row r="397" ht="57.75" customHeight="1">
      <c r="A397" s="1"/>
      <c r="B397" s="9" t="s">
        <v>223</v>
      </c>
      <c r="C397" s="7"/>
      <c r="D397" s="1"/>
    </row>
    <row r="398" ht="33.75" customHeight="1">
      <c r="A398" s="1"/>
      <c r="B398" s="10" t="s">
        <v>5</v>
      </c>
      <c r="C398" s="11" t="s">
        <v>224</v>
      </c>
      <c r="D398" s="1"/>
    </row>
    <row r="399" ht="33.75" customHeight="1">
      <c r="A399" s="1"/>
      <c r="B399" s="10" t="s">
        <v>7</v>
      </c>
      <c r="C399" s="11" t="s">
        <v>225</v>
      </c>
      <c r="D399" s="1"/>
    </row>
    <row r="400" ht="33.75" customHeight="1">
      <c r="A400" s="1"/>
      <c r="B400" s="10" t="s">
        <v>9</v>
      </c>
      <c r="C400" s="11" t="s">
        <v>226</v>
      </c>
      <c r="D400" s="1"/>
    </row>
    <row r="401" ht="33.75" customHeight="1">
      <c r="A401" s="1"/>
      <c r="B401" s="10" t="s">
        <v>11</v>
      </c>
      <c r="C401" s="11" t="s">
        <v>227</v>
      </c>
      <c r="D401" s="1"/>
    </row>
    <row r="402" ht="42.0" customHeight="1">
      <c r="A402" s="1"/>
      <c r="B402" s="12" t="s">
        <v>13</v>
      </c>
      <c r="C402" s="13"/>
      <c r="D402" s="1"/>
    </row>
    <row r="403" ht="39.75" customHeight="1">
      <c r="A403" s="1"/>
      <c r="B403" s="14" t="s">
        <v>14</v>
      </c>
      <c r="C403" s="15" t="str">
        <f>IF(C402="","← A〜Dを選んでや！",IF(C402="C","✅ 正解！ 素晴らしいで～！","❌ 不正解... 正解は C やで！"))</f>
        <v>← A〜Dを選んでや！</v>
      </c>
      <c r="D403" s="1"/>
    </row>
    <row r="404" ht="60.0" customHeight="1">
      <c r="A404" s="1"/>
      <c r="B404" s="16" t="s">
        <v>15</v>
      </c>
      <c r="C404" s="17" t="str">
        <f>IF(C402="","回答を選んでから解説が表示されるで！","正解は C やで！
IPv6アドレスは128ビットで構成されとるで！IPv4は32ビットやったで。")</f>
        <v>回答を選んでから解説が表示されるで！</v>
      </c>
      <c r="D404" s="1"/>
    </row>
    <row r="405" ht="15.75" customHeight="1">
      <c r="A405" s="1"/>
      <c r="B405" s="1"/>
      <c r="C405" s="1"/>
      <c r="D405" s="1"/>
    </row>
    <row r="406" ht="27.75" customHeight="1">
      <c r="A406" s="1"/>
      <c r="B406" s="8" t="s">
        <v>228</v>
      </c>
      <c r="C406" s="7"/>
      <c r="D406" s="1"/>
    </row>
    <row r="407" ht="57.75" customHeight="1">
      <c r="A407" s="1"/>
      <c r="B407" s="9" t="s">
        <v>229</v>
      </c>
      <c r="C407" s="7"/>
      <c r="D407" s="1"/>
    </row>
    <row r="408" ht="33.75" customHeight="1">
      <c r="A408" s="1"/>
      <c r="B408" s="10" t="s">
        <v>5</v>
      </c>
      <c r="C408" s="21" t="s">
        <v>151</v>
      </c>
      <c r="D408" s="1"/>
    </row>
    <row r="409" ht="33.75" customHeight="1">
      <c r="A409" s="1"/>
      <c r="B409" s="10" t="s">
        <v>7</v>
      </c>
      <c r="C409" s="21" t="s">
        <v>152</v>
      </c>
      <c r="D409" s="1"/>
    </row>
    <row r="410" ht="33.75" customHeight="1">
      <c r="A410" s="1"/>
      <c r="B410" s="10" t="s">
        <v>9</v>
      </c>
      <c r="C410" s="21" t="s">
        <v>230</v>
      </c>
      <c r="D410" s="1"/>
    </row>
    <row r="411" ht="33.75" customHeight="1">
      <c r="A411" s="1"/>
      <c r="B411" s="10" t="s">
        <v>11</v>
      </c>
      <c r="C411" s="21" t="s">
        <v>231</v>
      </c>
      <c r="D411" s="1"/>
    </row>
    <row r="412" ht="42.0" customHeight="1">
      <c r="A412" s="1"/>
      <c r="B412" s="12" t="s">
        <v>13</v>
      </c>
      <c r="C412" s="13"/>
      <c r="D412" s="1"/>
    </row>
    <row r="413" ht="39.75" customHeight="1">
      <c r="A413" s="1"/>
      <c r="B413" s="14" t="s">
        <v>14</v>
      </c>
      <c r="C413" s="15" t="str">
        <f>IF(C412="","← A〜Dを選んでや！",IF(C412="B","✅ 正解！ 素晴らしいで～！","❌ 不正解... 正解は B やで！"))</f>
        <v>← A〜Dを選んでや！</v>
      </c>
      <c r="D413" s="1"/>
    </row>
    <row r="414" ht="60.0" customHeight="1">
      <c r="A414" s="1"/>
      <c r="B414" s="16" t="s">
        <v>15</v>
      </c>
      <c r="C414" s="17" t="str">
        <f>IF(C412="","回答を選んでから解説が表示されるで！","正解は B やで！
TCPとUDPはどちらもトランスポート層（第4層）のプロトコルやで！")</f>
        <v>回答を選んでから解説が表示されるで！</v>
      </c>
      <c r="D414" s="1"/>
    </row>
    <row r="415" ht="15.75" customHeight="1">
      <c r="A415" s="1"/>
      <c r="B415" s="1"/>
      <c r="C415" s="1"/>
      <c r="D415" s="1"/>
    </row>
    <row r="416" ht="27.75" customHeight="1">
      <c r="A416" s="1"/>
      <c r="B416" s="8" t="s">
        <v>232</v>
      </c>
      <c r="C416" s="7"/>
      <c r="D416" s="1"/>
    </row>
    <row r="417" ht="57.75" customHeight="1">
      <c r="A417" s="1"/>
      <c r="B417" s="20" t="s">
        <v>233</v>
      </c>
      <c r="C417" s="7"/>
      <c r="D417" s="1"/>
    </row>
    <row r="418" ht="33.75" customHeight="1">
      <c r="A418" s="1"/>
      <c r="B418" s="10" t="s">
        <v>5</v>
      </c>
      <c r="C418" s="21" t="s">
        <v>234</v>
      </c>
      <c r="D418" s="1"/>
    </row>
    <row r="419" ht="33.75" customHeight="1">
      <c r="A419" s="1"/>
      <c r="B419" s="10" t="s">
        <v>7</v>
      </c>
      <c r="C419" s="21" t="s">
        <v>235</v>
      </c>
      <c r="D419" s="1"/>
    </row>
    <row r="420" ht="33.75" customHeight="1">
      <c r="A420" s="1"/>
      <c r="B420" s="10" t="s">
        <v>9</v>
      </c>
      <c r="C420" s="11" t="s">
        <v>236</v>
      </c>
      <c r="D420" s="1"/>
    </row>
    <row r="421" ht="33.75" customHeight="1">
      <c r="A421" s="1"/>
      <c r="B421" s="10" t="s">
        <v>11</v>
      </c>
      <c r="C421" s="11" t="s">
        <v>220</v>
      </c>
      <c r="D421" s="1"/>
    </row>
    <row r="422" ht="42.0" customHeight="1">
      <c r="A422" s="1"/>
      <c r="B422" s="12" t="s">
        <v>13</v>
      </c>
      <c r="C422" s="13"/>
      <c r="D422" s="1"/>
    </row>
    <row r="423" ht="39.75" customHeight="1">
      <c r="A423" s="1"/>
      <c r="B423" s="14" t="s">
        <v>14</v>
      </c>
      <c r="C423" s="15" t="str">
        <f>IF(C422="","← A〜Dを選んでや！",IF(C422="B","✅ 正解！ 素晴らしいで～！","❌ 不正解... 正解は B やで！"))</f>
        <v>← A〜Dを選んでや！</v>
      </c>
      <c r="D423" s="1"/>
    </row>
    <row r="424" ht="60.0" customHeight="1">
      <c r="A424" s="1"/>
      <c r="B424" s="16" t="s">
        <v>15</v>
      </c>
      <c r="C424" s="17" t="str">
        <f>IF(C422="","回答を選んでから解説が表示されるで！","正解は B やで！
アクセスポイント（AP）は有線LANと無線LAN（Wi-Fi）を繋いで、ワイヤレスデバイスがネットワークに接続できるようにするんやで！")</f>
        <v>回答を選んでから解説が表示されるで！</v>
      </c>
      <c r="D424" s="1"/>
    </row>
    <row r="425" ht="15.75" customHeight="1">
      <c r="A425" s="1"/>
      <c r="B425" s="1"/>
      <c r="C425" s="1"/>
      <c r="D425" s="1"/>
    </row>
    <row r="426" ht="27.75" customHeight="1">
      <c r="A426" s="1"/>
      <c r="B426" s="8" t="s">
        <v>237</v>
      </c>
      <c r="C426" s="7"/>
      <c r="D426" s="1"/>
    </row>
    <row r="427" ht="57.75" customHeight="1">
      <c r="A427" s="1"/>
      <c r="B427" s="9" t="s">
        <v>238</v>
      </c>
      <c r="C427" s="7"/>
      <c r="D427" s="1"/>
    </row>
    <row r="428" ht="33.75" customHeight="1">
      <c r="A428" s="1"/>
      <c r="B428" s="10" t="s">
        <v>5</v>
      </c>
      <c r="C428" s="11" t="s">
        <v>239</v>
      </c>
      <c r="D428" s="1"/>
    </row>
    <row r="429" ht="33.75" customHeight="1">
      <c r="A429" s="1"/>
      <c r="B429" s="10" t="s">
        <v>7</v>
      </c>
      <c r="C429" s="11" t="s">
        <v>165</v>
      </c>
      <c r="D429" s="1"/>
    </row>
    <row r="430" ht="33.75" customHeight="1">
      <c r="A430" s="1"/>
      <c r="B430" s="10" t="s">
        <v>9</v>
      </c>
      <c r="C430" s="11" t="s">
        <v>167</v>
      </c>
      <c r="D430" s="1"/>
    </row>
    <row r="431" ht="33.75" customHeight="1">
      <c r="A431" s="1"/>
      <c r="B431" s="10" t="s">
        <v>11</v>
      </c>
      <c r="C431" s="11" t="s">
        <v>240</v>
      </c>
      <c r="D431" s="1"/>
    </row>
    <row r="432" ht="42.0" customHeight="1">
      <c r="A432" s="1"/>
      <c r="B432" s="12" t="s">
        <v>13</v>
      </c>
      <c r="C432" s="13"/>
      <c r="D432" s="1"/>
    </row>
    <row r="433" ht="39.75" customHeight="1">
      <c r="A433" s="1"/>
      <c r="B433" s="14" t="s">
        <v>14</v>
      </c>
      <c r="C433" s="15" t="str">
        <f>IF(C432="","← A〜Dを選んでや！",IF(C432="A","✅ 正解！ 素晴らしいで～！","❌ 不正解... 正解は A やで！"))</f>
        <v>← A〜Dを選んでや！</v>
      </c>
      <c r="D433" s="1"/>
    </row>
    <row r="434" ht="60.0" customHeight="1">
      <c r="A434" s="1"/>
      <c r="B434" s="16" t="s">
        <v>15</v>
      </c>
      <c r="C434" s="17" t="str">
        <f>IF(C432="","回答を選んでから解説が表示されるで！","正解は A やで！
DNSは53番ポートを使うんやで！HTTP=80、HTTPS=443、SMTP=25やで。DNS = 53番！")</f>
        <v>回答を選んでから解説が表示されるで！</v>
      </c>
      <c r="D434" s="1"/>
    </row>
    <row r="435" ht="15.75" customHeight="1">
      <c r="A435" s="1"/>
      <c r="B435" s="1"/>
      <c r="C435" s="1"/>
      <c r="D435" s="1"/>
    </row>
    <row r="436" ht="27.75" customHeight="1">
      <c r="A436" s="1"/>
      <c r="B436" s="8" t="s">
        <v>241</v>
      </c>
      <c r="C436" s="7"/>
      <c r="D436" s="1"/>
    </row>
    <row r="437" ht="57.75" customHeight="1">
      <c r="A437" s="1"/>
      <c r="B437" s="20" t="s">
        <v>242</v>
      </c>
      <c r="C437" s="7"/>
      <c r="D437" s="1"/>
    </row>
    <row r="438" ht="33.75" customHeight="1">
      <c r="A438" s="1"/>
      <c r="B438" s="10" t="s">
        <v>5</v>
      </c>
      <c r="C438" s="21" t="s">
        <v>243</v>
      </c>
      <c r="D438" s="1"/>
    </row>
    <row r="439" ht="33.75" customHeight="1">
      <c r="A439" s="1"/>
      <c r="B439" s="10" t="s">
        <v>7</v>
      </c>
      <c r="C439" s="21" t="s">
        <v>244</v>
      </c>
      <c r="D439" s="1"/>
    </row>
    <row r="440" ht="33.75" customHeight="1">
      <c r="A440" s="1"/>
      <c r="B440" s="10" t="s">
        <v>9</v>
      </c>
      <c r="C440" s="21" t="s">
        <v>245</v>
      </c>
      <c r="D440" s="1"/>
    </row>
    <row r="441" ht="33.75" customHeight="1">
      <c r="A441" s="1"/>
      <c r="B441" s="10" t="s">
        <v>11</v>
      </c>
      <c r="C441" s="11" t="s">
        <v>246</v>
      </c>
      <c r="D441" s="1"/>
    </row>
    <row r="442" ht="42.0" customHeight="1">
      <c r="A442" s="1"/>
      <c r="B442" s="12" t="s">
        <v>13</v>
      </c>
      <c r="C442" s="13"/>
      <c r="D442" s="1"/>
    </row>
    <row r="443" ht="39.75" customHeight="1">
      <c r="A443" s="1"/>
      <c r="B443" s="14" t="s">
        <v>14</v>
      </c>
      <c r="C443" s="15" t="str">
        <f>IF(C442="","← A〜Dを選んでや！",IF(C442="B","✅ 正解！ 素晴らしいで～！","❌ 不正解... 正解は B やで！"))</f>
        <v>← A〜Dを選んでや！</v>
      </c>
      <c r="D443" s="1"/>
    </row>
    <row r="444" ht="60.0" customHeight="1">
      <c r="A444" s="1"/>
      <c r="B444" s="16" t="s">
        <v>15</v>
      </c>
      <c r="C444" s="17" t="str">
        <f>IF(C442="","回答を選んでから解説が表示されるで！","正解は B やで！
STPはスイッチが複数接続されてループが発生するのを防ぐプロトコルやで！")</f>
        <v>回答を選んでから解説が表示されるで！</v>
      </c>
      <c r="D444" s="1"/>
    </row>
    <row r="445" ht="15.75" customHeight="1">
      <c r="A445" s="1"/>
      <c r="B445" s="1"/>
      <c r="C445" s="1"/>
      <c r="D445" s="1"/>
    </row>
    <row r="446" ht="27.75" customHeight="1">
      <c r="A446" s="1"/>
      <c r="B446" s="8" t="s">
        <v>247</v>
      </c>
      <c r="C446" s="7"/>
      <c r="D446" s="1"/>
    </row>
    <row r="447" ht="57.75" customHeight="1">
      <c r="A447" s="1"/>
      <c r="B447" s="20" t="s">
        <v>248</v>
      </c>
      <c r="C447" s="7"/>
      <c r="D447" s="1"/>
    </row>
    <row r="448" ht="33.75" customHeight="1">
      <c r="A448" s="1"/>
      <c r="B448" s="10" t="s">
        <v>5</v>
      </c>
      <c r="C448" s="21" t="s">
        <v>249</v>
      </c>
      <c r="D448" s="1"/>
    </row>
    <row r="449" ht="33.75" customHeight="1">
      <c r="A449" s="1"/>
      <c r="B449" s="10" t="s">
        <v>7</v>
      </c>
      <c r="C449" s="21" t="s">
        <v>250</v>
      </c>
      <c r="D449" s="1"/>
    </row>
    <row r="450" ht="33.75" customHeight="1">
      <c r="A450" s="1"/>
      <c r="B450" s="10" t="s">
        <v>9</v>
      </c>
      <c r="C450" s="11" t="s">
        <v>220</v>
      </c>
      <c r="D450" s="1"/>
    </row>
    <row r="451" ht="33.75" customHeight="1">
      <c r="A451" s="1"/>
      <c r="B451" s="10" t="s">
        <v>11</v>
      </c>
      <c r="C451" s="21" t="s">
        <v>171</v>
      </c>
      <c r="D451" s="1"/>
    </row>
    <row r="452" ht="42.0" customHeight="1">
      <c r="A452" s="1"/>
      <c r="B452" s="12" t="s">
        <v>13</v>
      </c>
      <c r="C452" s="13"/>
      <c r="D452" s="1"/>
    </row>
    <row r="453" ht="39.75" customHeight="1">
      <c r="A453" s="1"/>
      <c r="B453" s="14" t="s">
        <v>14</v>
      </c>
      <c r="C453" s="15" t="str">
        <f>IF(C452="","← A〜Dを選んでや！",IF(C452="B","✅ 正解！ 素晴らしいで～！","❌ 不正解... 正解は B やで！"))</f>
        <v>← A〜Dを選んでや！</v>
      </c>
      <c r="D453" s="1"/>
    </row>
    <row r="454" ht="60.0" customHeight="1">
      <c r="A454" s="1"/>
      <c r="B454" s="16" t="s">
        <v>15</v>
      </c>
      <c r="C454" s="17" t="str">
        <f>IF(C452="","回答を選んでから解説が表示されるで！","正解は B やで！
ファイアウォールはセキュリティルールに基づいてネットワークトラフィックをフィルタリングするんやで！")</f>
        <v>回答を選んでから解説が表示されるで！</v>
      </c>
      <c r="D454" s="1"/>
    </row>
    <row r="455" ht="15.75" customHeight="1">
      <c r="A455" s="1"/>
      <c r="B455" s="1"/>
      <c r="C455" s="1"/>
      <c r="D455" s="1"/>
    </row>
    <row r="456" ht="27.75" customHeight="1">
      <c r="A456" s="1"/>
      <c r="B456" s="8" t="s">
        <v>251</v>
      </c>
      <c r="C456" s="7"/>
      <c r="D456" s="1"/>
    </row>
    <row r="457" ht="57.75" customHeight="1">
      <c r="A457" s="1"/>
      <c r="B457" s="9" t="s">
        <v>252</v>
      </c>
      <c r="C457" s="7"/>
      <c r="D457" s="1"/>
    </row>
    <row r="458" ht="33.75" customHeight="1">
      <c r="A458" s="1"/>
      <c r="B458" s="10" t="s">
        <v>5</v>
      </c>
      <c r="C458" s="11" t="s">
        <v>72</v>
      </c>
      <c r="D458" s="1"/>
    </row>
    <row r="459" ht="33.75" customHeight="1">
      <c r="A459" s="1"/>
      <c r="B459" s="10" t="s">
        <v>7</v>
      </c>
      <c r="C459" s="11" t="s">
        <v>253</v>
      </c>
      <c r="D459" s="1"/>
    </row>
    <row r="460" ht="33.75" customHeight="1">
      <c r="A460" s="1"/>
      <c r="B460" s="10" t="s">
        <v>9</v>
      </c>
      <c r="C460" s="11" t="s">
        <v>71</v>
      </c>
      <c r="D460" s="1"/>
    </row>
    <row r="461" ht="33.75" customHeight="1">
      <c r="A461" s="1"/>
      <c r="B461" s="10" t="s">
        <v>11</v>
      </c>
      <c r="C461" s="11" t="s">
        <v>73</v>
      </c>
      <c r="D461" s="1"/>
    </row>
    <row r="462" ht="42.0" customHeight="1">
      <c r="A462" s="1"/>
      <c r="B462" s="12" t="s">
        <v>13</v>
      </c>
      <c r="C462" s="13"/>
      <c r="D462" s="1"/>
    </row>
    <row r="463" ht="39.75" customHeight="1">
      <c r="A463" s="1"/>
      <c r="B463" s="14" t="s">
        <v>14</v>
      </c>
      <c r="C463" s="15" t="str">
        <f>IF(C462="","← A〜Dを選んでや！",IF(C462="A","✅ 正解！ 素晴らしいで～！","❌ 不正解... 正解は A やで！"))</f>
        <v>← A〜Dを選んでや！</v>
      </c>
      <c r="D463" s="1"/>
    </row>
    <row r="464" ht="79.5" customHeight="1">
      <c r="A464" s="1"/>
      <c r="B464" s="16" t="s">
        <v>15</v>
      </c>
      <c r="C464" s="17" t="str">
        <f>IF(C462="","回答を選んでから解説が表示されるで！","正解は A やで！
ipconfig /all はWindowsで全ネットワーク設定を表示するコマンドやで！
Linux/Macではifconfig または ip addr を使うで～")</f>
        <v>回答を選んでから解説が表示されるで！</v>
      </c>
      <c r="D464" s="1"/>
    </row>
    <row r="465" ht="15.75" customHeight="1">
      <c r="A465" s="1"/>
      <c r="B465" s="1"/>
      <c r="C465" s="1"/>
      <c r="D465" s="1"/>
    </row>
    <row r="466" ht="27.75" customHeight="1">
      <c r="A466" s="1"/>
      <c r="B466" s="8" t="s">
        <v>254</v>
      </c>
      <c r="C466" s="7"/>
      <c r="D466" s="1"/>
    </row>
    <row r="467" ht="57.75" customHeight="1">
      <c r="A467" s="1"/>
      <c r="B467" s="9" t="s">
        <v>255</v>
      </c>
      <c r="C467" s="7"/>
      <c r="D467" s="1"/>
    </row>
    <row r="468" ht="33.75" customHeight="1">
      <c r="A468" s="1"/>
      <c r="B468" s="10" t="s">
        <v>5</v>
      </c>
      <c r="C468" s="11" t="s">
        <v>256</v>
      </c>
      <c r="D468" s="1"/>
    </row>
    <row r="469" ht="33.75" customHeight="1">
      <c r="A469" s="1"/>
      <c r="B469" s="10" t="s">
        <v>7</v>
      </c>
      <c r="C469" s="11" t="s">
        <v>257</v>
      </c>
      <c r="D469" s="1"/>
    </row>
    <row r="470" ht="33.75" customHeight="1">
      <c r="A470" s="1"/>
      <c r="B470" s="10" t="s">
        <v>9</v>
      </c>
      <c r="C470" s="11" t="s">
        <v>258</v>
      </c>
      <c r="D470" s="1"/>
    </row>
    <row r="471" ht="33.75" customHeight="1">
      <c r="A471" s="1"/>
      <c r="B471" s="10" t="s">
        <v>11</v>
      </c>
      <c r="C471" s="21" t="s">
        <v>259</v>
      </c>
      <c r="D471" s="1"/>
    </row>
    <row r="472" ht="42.0" customHeight="1">
      <c r="A472" s="1"/>
      <c r="B472" s="12" t="s">
        <v>13</v>
      </c>
      <c r="C472" s="13"/>
      <c r="D472" s="1"/>
    </row>
    <row r="473" ht="39.75" customHeight="1">
      <c r="A473" s="1"/>
      <c r="B473" s="14" t="s">
        <v>14</v>
      </c>
      <c r="C473" s="15" t="str">
        <f>IF(C472="","← A〜Dを選んでや！",IF(C472="B","✅ 正解！ 素晴らしいで～！","❌ 不正解... 正解は B やで！"))</f>
        <v>← A〜Dを選んでや！</v>
      </c>
      <c r="D473" s="1"/>
    </row>
    <row r="474" ht="79.5" customHeight="1">
      <c r="A474" s="1"/>
      <c r="B474" s="16" t="s">
        <v>15</v>
      </c>
      <c r="C474" s="17" t="str">
        <f>IF(C472="","回答を選んでから解説が表示されるで！","正解は B やで！
WPA2-Personal（PSK）は家庭向けでパスワードで認証するんやで！
WPA2-EnterpriseはRADIUSサーバーを使う企業向けの方式やで～")</f>
        <v>回答を選んでから解説が表示されるで！</v>
      </c>
      <c r="D474" s="1"/>
    </row>
    <row r="475" ht="15.75" customHeight="1">
      <c r="A475" s="1"/>
      <c r="B475" s="1"/>
      <c r="C475" s="1"/>
      <c r="D475" s="1"/>
    </row>
    <row r="476" ht="27.75" customHeight="1">
      <c r="A476" s="1"/>
      <c r="B476" s="8" t="s">
        <v>260</v>
      </c>
      <c r="C476" s="7"/>
      <c r="D476" s="1"/>
    </row>
    <row r="477" ht="57.75" customHeight="1">
      <c r="A477" s="1"/>
      <c r="B477" s="9" t="s">
        <v>261</v>
      </c>
      <c r="C477" s="7"/>
      <c r="D477" s="1"/>
    </row>
    <row r="478" ht="33.75" customHeight="1">
      <c r="A478" s="1"/>
      <c r="B478" s="10" t="s">
        <v>5</v>
      </c>
      <c r="C478" s="21" t="s">
        <v>262</v>
      </c>
      <c r="D478" s="1"/>
    </row>
    <row r="479" ht="33.75" customHeight="1">
      <c r="A479" s="1"/>
      <c r="B479" s="10" t="s">
        <v>7</v>
      </c>
      <c r="C479" s="21" t="s">
        <v>263</v>
      </c>
      <c r="D479" s="1"/>
    </row>
    <row r="480" ht="33.75" customHeight="1">
      <c r="A480" s="1"/>
      <c r="B480" s="10" t="s">
        <v>9</v>
      </c>
      <c r="C480" s="21" t="s">
        <v>264</v>
      </c>
      <c r="D480" s="1"/>
    </row>
    <row r="481" ht="33.75" customHeight="1">
      <c r="A481" s="1"/>
      <c r="B481" s="10" t="s">
        <v>11</v>
      </c>
      <c r="C481" s="21" t="s">
        <v>265</v>
      </c>
      <c r="D481" s="1"/>
    </row>
    <row r="482" ht="42.0" customHeight="1">
      <c r="A482" s="1"/>
      <c r="B482" s="12" t="s">
        <v>13</v>
      </c>
      <c r="C482" s="13"/>
      <c r="D482" s="1"/>
    </row>
    <row r="483" ht="39.75" customHeight="1">
      <c r="A483" s="1"/>
      <c r="B483" s="14" t="s">
        <v>14</v>
      </c>
      <c r="C483" s="15" t="str">
        <f>IF(C482="","← A〜Dを選んでや！",IF(C482="B","✅ 正解！ 素晴らしいで～！","❌ 不正解... 正解は B やで！"))</f>
        <v>← A〜Dを選んでや！</v>
      </c>
      <c r="D483" s="1"/>
    </row>
    <row r="484" ht="79.5" customHeight="1">
      <c r="A484" s="1"/>
      <c r="B484" s="16" t="s">
        <v>15</v>
      </c>
      <c r="C484" s="17" t="str">
        <f>IF(C482="","回答を選んでから解説が表示されるで！","正解は B やで！
CIAトライアドは Confidentiality（機密性）・Integrity（完全性）・Availability（可用性）やで！
機密性は「見てええ人だけが見られる」ことの保証やで。")</f>
        <v>回答を選んでから解説が表示されるで！</v>
      </c>
      <c r="D484" s="1"/>
    </row>
    <row r="485" ht="15.75" customHeight="1">
      <c r="A485" s="1"/>
      <c r="B485" s="1"/>
      <c r="C485" s="1"/>
      <c r="D485" s="1"/>
    </row>
    <row r="486" ht="27.75" customHeight="1">
      <c r="A486" s="1"/>
      <c r="B486" s="8" t="s">
        <v>266</v>
      </c>
      <c r="C486" s="7"/>
      <c r="D486" s="1"/>
    </row>
    <row r="487" ht="57.75" customHeight="1">
      <c r="A487" s="1"/>
      <c r="B487" s="20" t="s">
        <v>267</v>
      </c>
      <c r="C487" s="7"/>
      <c r="D487" s="1"/>
    </row>
    <row r="488" ht="33.75" customHeight="1">
      <c r="A488" s="1"/>
      <c r="B488" s="10" t="s">
        <v>5</v>
      </c>
      <c r="C488" s="21" t="s">
        <v>268</v>
      </c>
      <c r="D488" s="1"/>
    </row>
    <row r="489" ht="33.75" customHeight="1">
      <c r="A489" s="1"/>
      <c r="B489" s="10" t="s">
        <v>7</v>
      </c>
      <c r="C489" s="11" t="s">
        <v>269</v>
      </c>
      <c r="D489" s="1"/>
    </row>
    <row r="490" ht="33.75" customHeight="1">
      <c r="A490" s="1"/>
      <c r="B490" s="10" t="s">
        <v>9</v>
      </c>
      <c r="C490" s="21" t="s">
        <v>270</v>
      </c>
      <c r="D490" s="1"/>
    </row>
    <row r="491" ht="33.75" customHeight="1">
      <c r="A491" s="1"/>
      <c r="B491" s="10" t="s">
        <v>11</v>
      </c>
      <c r="C491" s="11" t="s">
        <v>271</v>
      </c>
      <c r="D491" s="1"/>
    </row>
    <row r="492" ht="42.0" customHeight="1">
      <c r="A492" s="1"/>
      <c r="B492" s="12" t="s">
        <v>13</v>
      </c>
      <c r="C492" s="13"/>
      <c r="D492" s="1"/>
    </row>
    <row r="493" ht="39.75" customHeight="1">
      <c r="A493" s="1"/>
      <c r="B493" s="14" t="s">
        <v>14</v>
      </c>
      <c r="C493" s="15" t="str">
        <f>IF(C492="","← A〜Dを選んでや！",IF(C492="B","✅ 正解！ 素晴らしいで～！","❌ 不正解... 正解は B やで！"))</f>
        <v>← A〜Dを選んでや！</v>
      </c>
      <c r="D493" s="1"/>
    </row>
    <row r="494" ht="60.0" customHeight="1">
      <c r="A494" s="1"/>
      <c r="B494" s="16" t="s">
        <v>15</v>
      </c>
      <c r="C494" s="17" t="str">
        <f>IF(C492="","回答を選んでから解説が表示されるで！","正解は B やで！
MFA（Multi-Factor Authentication）は「知っていること」「持っているもの」「生体情報」のうち2つ以上を組み合わせる認証やで！")</f>
        <v>回答を選んでから解説が表示されるで！</v>
      </c>
      <c r="D494" s="1"/>
    </row>
    <row r="495" ht="15.75" customHeight="1">
      <c r="A495" s="1"/>
      <c r="B495" s="1"/>
      <c r="C495" s="1"/>
      <c r="D495" s="1"/>
    </row>
    <row r="496" ht="27.75" customHeight="1">
      <c r="A496" s="1"/>
      <c r="B496" s="8" t="s">
        <v>272</v>
      </c>
      <c r="C496" s="7"/>
      <c r="D496" s="1"/>
    </row>
    <row r="497" ht="57.75" customHeight="1">
      <c r="A497" s="1"/>
      <c r="B497" s="9" t="s">
        <v>273</v>
      </c>
      <c r="C497" s="7"/>
      <c r="D497" s="1"/>
    </row>
    <row r="498" ht="33.75" customHeight="1">
      <c r="A498" s="1"/>
      <c r="B498" s="10" t="s">
        <v>5</v>
      </c>
      <c r="C498" s="11" t="s">
        <v>274</v>
      </c>
      <c r="D498" s="1"/>
    </row>
    <row r="499" ht="33.75" customHeight="1">
      <c r="A499" s="1"/>
      <c r="B499" s="10" t="s">
        <v>7</v>
      </c>
      <c r="C499" s="11" t="s">
        <v>275</v>
      </c>
      <c r="D499" s="1"/>
    </row>
    <row r="500" ht="33.75" customHeight="1">
      <c r="A500" s="1"/>
      <c r="B500" s="10" t="s">
        <v>9</v>
      </c>
      <c r="C500" s="11" t="s">
        <v>276</v>
      </c>
      <c r="D500" s="1"/>
    </row>
    <row r="501" ht="33.75" customHeight="1">
      <c r="A501" s="1"/>
      <c r="B501" s="10" t="s">
        <v>11</v>
      </c>
      <c r="C501" s="11" t="s">
        <v>277</v>
      </c>
      <c r="D501" s="1"/>
    </row>
    <row r="502" ht="42.0" customHeight="1">
      <c r="A502" s="1"/>
      <c r="B502" s="12" t="s">
        <v>13</v>
      </c>
      <c r="C502" s="13"/>
      <c r="D502" s="1"/>
    </row>
    <row r="503" ht="39.75" customHeight="1">
      <c r="A503" s="1"/>
      <c r="B503" s="14" t="s">
        <v>14</v>
      </c>
      <c r="C503" s="15" t="str">
        <f>IF(C502="","← A〜Dを選んでや！",IF(C502="C","✅ 正解！ 素晴らしいで～！","❌ 不正解... 正解は C やで！"))</f>
        <v>← A〜Dを選んでや！</v>
      </c>
      <c r="D503" s="1"/>
    </row>
    <row r="504" ht="60.0" customHeight="1">
      <c r="A504" s="1"/>
      <c r="B504" s="16" t="s">
        <v>15</v>
      </c>
      <c r="C504" s="17" t="str">
        <f>IF(C502="","回答を選んでから解説が表示されるで！","正解は C やで！
Wiresharkでキャプチャしたパケットは .pcap（Packet Capture）形式で保存されるで！")</f>
        <v>回答を選んでから解説が表示されるで！</v>
      </c>
      <c r="D504" s="1"/>
    </row>
    <row r="505" ht="15.75" customHeight="1">
      <c r="A505" s="1"/>
      <c r="B505" s="1"/>
      <c r="C505" s="1"/>
      <c r="D505" s="1"/>
    </row>
    <row r="506" ht="27.75" customHeight="1">
      <c r="A506" s="1"/>
      <c r="B506" s="8" t="s">
        <v>278</v>
      </c>
      <c r="C506" s="7"/>
      <c r="D506" s="1"/>
    </row>
    <row r="507" ht="57.75" customHeight="1">
      <c r="A507" s="1"/>
      <c r="B507" s="9" t="s">
        <v>279</v>
      </c>
      <c r="C507" s="7"/>
      <c r="D507" s="1"/>
    </row>
    <row r="508" ht="33.75" customHeight="1">
      <c r="A508" s="1"/>
      <c r="B508" s="10" t="s">
        <v>5</v>
      </c>
      <c r="C508" s="21" t="s">
        <v>280</v>
      </c>
      <c r="D508" s="1"/>
    </row>
    <row r="509" ht="33.75" customHeight="1">
      <c r="A509" s="1"/>
      <c r="B509" s="10" t="s">
        <v>7</v>
      </c>
      <c r="C509" s="21" t="s">
        <v>281</v>
      </c>
      <c r="D509" s="1"/>
    </row>
    <row r="510" ht="33.75" customHeight="1">
      <c r="A510" s="1"/>
      <c r="B510" s="10" t="s">
        <v>9</v>
      </c>
      <c r="C510" s="21" t="s">
        <v>282</v>
      </c>
      <c r="D510" s="1"/>
    </row>
    <row r="511" ht="33.75" customHeight="1">
      <c r="A511" s="1"/>
      <c r="B511" s="10" t="s">
        <v>11</v>
      </c>
      <c r="C511" s="21" t="s">
        <v>283</v>
      </c>
      <c r="D511" s="1"/>
    </row>
    <row r="512" ht="42.0" customHeight="1">
      <c r="A512" s="1"/>
      <c r="B512" s="12" t="s">
        <v>13</v>
      </c>
      <c r="C512" s="13"/>
      <c r="D512" s="1"/>
    </row>
    <row r="513" ht="39.75" customHeight="1">
      <c r="A513" s="1"/>
      <c r="B513" s="14" t="s">
        <v>14</v>
      </c>
      <c r="C513" s="15" t="str">
        <f>IF(C512="","← A〜Dを選んでや！",IF(C512="B","✅ 正解！ 素晴らしいで～！","❌ 不正解... 正解は B やで！"))</f>
        <v>← A〜Dを選んでや！</v>
      </c>
      <c r="D513" s="1"/>
    </row>
    <row r="514" ht="60.0" customHeight="1">
      <c r="A514" s="1"/>
      <c r="B514" s="16" t="s">
        <v>15</v>
      </c>
      <c r="C514" s="17" t="str">
        <f>IF(C512="","回答を選んでから解説が表示されるで！","正解は B やで！
Ciscoのコンソールポートにはロールオーバーケーブル（ライトブルーのケーブル）を使うで！")</f>
        <v>回答を選んでから解説が表示されるで！</v>
      </c>
      <c r="D514" s="1"/>
    </row>
    <row r="515" ht="15.75" customHeight="1">
      <c r="A515" s="1"/>
      <c r="B515" s="1"/>
      <c r="C515" s="1"/>
      <c r="D515" s="1"/>
    </row>
    <row r="516" ht="27.75" customHeight="1">
      <c r="A516" s="1"/>
      <c r="B516" s="8" t="s">
        <v>284</v>
      </c>
      <c r="C516" s="7"/>
      <c r="D516" s="1"/>
    </row>
    <row r="517" ht="57.75" customHeight="1">
      <c r="A517" s="1"/>
      <c r="B517" s="9" t="s">
        <v>285</v>
      </c>
      <c r="C517" s="7"/>
      <c r="D517" s="1"/>
    </row>
    <row r="518" ht="33.75" customHeight="1">
      <c r="A518" s="1"/>
      <c r="B518" s="10" t="s">
        <v>5</v>
      </c>
      <c r="C518" s="11" t="s">
        <v>286</v>
      </c>
      <c r="D518" s="1"/>
    </row>
    <row r="519" ht="33.75" customHeight="1">
      <c r="A519" s="1"/>
      <c r="B519" s="10" t="s">
        <v>7</v>
      </c>
      <c r="C519" s="11" t="s">
        <v>287</v>
      </c>
      <c r="D519" s="1"/>
    </row>
    <row r="520" ht="33.75" customHeight="1">
      <c r="A520" s="1"/>
      <c r="B520" s="10" t="s">
        <v>9</v>
      </c>
      <c r="C520" s="11" t="s">
        <v>288</v>
      </c>
      <c r="D520" s="1"/>
    </row>
    <row r="521" ht="33.75" customHeight="1">
      <c r="A521" s="1"/>
      <c r="B521" s="10" t="s">
        <v>11</v>
      </c>
      <c r="C521" s="11" t="s">
        <v>289</v>
      </c>
      <c r="D521" s="1"/>
    </row>
    <row r="522" ht="42.0" customHeight="1">
      <c r="A522" s="1"/>
      <c r="B522" s="12" t="s">
        <v>13</v>
      </c>
      <c r="C522" s="13"/>
      <c r="D522" s="1"/>
    </row>
    <row r="523" ht="39.75" customHeight="1">
      <c r="A523" s="1"/>
      <c r="B523" s="14" t="s">
        <v>14</v>
      </c>
      <c r="C523" s="15" t="str">
        <f>IF(C522="","← A〜Dを選んでや！",IF(C522="B","✅ 正解！ 素晴らしいで～！","❌ 不正解... 正解は B やで！"))</f>
        <v>← A〜Dを選んでや！</v>
      </c>
      <c r="D523" s="1"/>
    </row>
    <row r="524" ht="60.0" customHeight="1">
      <c r="A524" s="1"/>
      <c r="B524" s="16" t="s">
        <v>15</v>
      </c>
      <c r="C524" s="17" t="str">
        <f>IF(C522="","回答を選んでから解説が表示されるで！","正解は B やで！
Layer 2スイッチはMACアドレスでフレーム転送するだけやけど、Layer 3スイッチはIPアドレスでルーティングもできるんやで！")</f>
        <v>回答を選んでから解説が表示されるで！</v>
      </c>
      <c r="D524" s="1"/>
    </row>
    <row r="525" ht="15.75" customHeight="1">
      <c r="A525" s="1"/>
      <c r="B525" s="1"/>
      <c r="C525" s="1"/>
      <c r="D525" s="1"/>
    </row>
    <row r="526" ht="15.75" customHeight="1">
      <c r="A526" s="1"/>
      <c r="B526" s="1"/>
      <c r="C526" s="1"/>
      <c r="D526" s="1"/>
    </row>
    <row r="527" ht="15.75" customHeight="1">
      <c r="A527" s="1"/>
      <c r="B527" s="1"/>
      <c r="C527" s="1"/>
      <c r="D527" s="1"/>
    </row>
    <row r="528" ht="15.75" customHeight="1">
      <c r="A528" s="1"/>
      <c r="B528" s="1"/>
      <c r="C528" s="1"/>
      <c r="D528" s="1"/>
    </row>
    <row r="529" ht="15.75" customHeight="1">
      <c r="A529" s="1"/>
      <c r="B529" s="1"/>
      <c r="C529" s="1"/>
      <c r="D529" s="1"/>
    </row>
    <row r="530" ht="15.75" customHeight="1">
      <c r="A530" s="1"/>
      <c r="B530" s="1"/>
      <c r="C530" s="1"/>
      <c r="D530" s="1"/>
    </row>
    <row r="531" ht="15.75" customHeight="1">
      <c r="A531" s="1"/>
      <c r="B531" s="1"/>
      <c r="C531" s="1"/>
      <c r="D531" s="1"/>
    </row>
    <row r="532" ht="15.75" customHeight="1">
      <c r="A532" s="1"/>
      <c r="B532" s="1"/>
      <c r="C532" s="1"/>
      <c r="D532" s="1"/>
    </row>
    <row r="533" ht="15.75" customHeight="1">
      <c r="A533" s="1"/>
      <c r="B533" s="1"/>
      <c r="C533" s="1"/>
      <c r="D533" s="1"/>
    </row>
    <row r="534" ht="15.75" customHeight="1">
      <c r="A534" s="1"/>
      <c r="B534" s="1"/>
      <c r="C534" s="1"/>
      <c r="D534" s="1"/>
    </row>
    <row r="535" ht="15.75" customHeight="1">
      <c r="A535" s="1"/>
      <c r="B535" s="1"/>
      <c r="C535" s="1"/>
      <c r="D535" s="1"/>
    </row>
    <row r="536" ht="15.75" customHeight="1">
      <c r="A536" s="1"/>
      <c r="B536" s="1"/>
      <c r="C536" s="1"/>
      <c r="D536" s="1"/>
    </row>
    <row r="537" ht="15.75" customHeight="1">
      <c r="A537" s="1"/>
      <c r="B537" s="1"/>
      <c r="C537" s="1"/>
      <c r="D537" s="1"/>
    </row>
    <row r="538" ht="15.75" customHeight="1">
      <c r="A538" s="1"/>
      <c r="B538" s="1"/>
      <c r="C538" s="1"/>
      <c r="D538" s="1"/>
    </row>
    <row r="539" ht="15.75" customHeight="1">
      <c r="A539" s="1"/>
      <c r="B539" s="1"/>
      <c r="C539" s="1"/>
      <c r="D539" s="1"/>
    </row>
    <row r="540" ht="15.75" customHeight="1">
      <c r="A540" s="1"/>
      <c r="B540" s="1"/>
      <c r="C540" s="1"/>
      <c r="D540" s="1"/>
    </row>
    <row r="541" ht="15.75" customHeight="1">
      <c r="A541" s="1"/>
      <c r="B541" s="1"/>
      <c r="C541" s="1"/>
      <c r="D541" s="1"/>
    </row>
    <row r="542" ht="15.75" customHeight="1">
      <c r="A542" s="1"/>
      <c r="B542" s="1"/>
      <c r="C542" s="1"/>
      <c r="D542" s="1"/>
    </row>
    <row r="543" ht="15.75" customHeight="1">
      <c r="A543" s="1"/>
      <c r="B543" s="1"/>
      <c r="C543" s="1"/>
      <c r="D543" s="1"/>
    </row>
    <row r="544" ht="15.75" customHeight="1">
      <c r="A544" s="1"/>
      <c r="B544" s="1"/>
      <c r="C544" s="1"/>
      <c r="D544" s="1"/>
    </row>
    <row r="545" ht="15.75" customHeight="1">
      <c r="A545" s="1"/>
      <c r="B545" s="1"/>
      <c r="C545" s="1"/>
      <c r="D545" s="1"/>
    </row>
    <row r="546" ht="15.75" customHeight="1">
      <c r="A546" s="1"/>
      <c r="B546" s="1"/>
      <c r="C546" s="1"/>
      <c r="D546" s="1"/>
    </row>
    <row r="547" ht="15.75" customHeight="1">
      <c r="A547" s="1"/>
      <c r="B547" s="1"/>
      <c r="C547" s="1"/>
      <c r="D547" s="1"/>
    </row>
    <row r="548" ht="15.75" customHeight="1">
      <c r="A548" s="1"/>
      <c r="B548" s="1"/>
      <c r="C548" s="1"/>
      <c r="D548" s="1"/>
    </row>
    <row r="549" ht="15.75" customHeight="1">
      <c r="A549" s="1"/>
      <c r="B549" s="1"/>
      <c r="C549" s="1"/>
      <c r="D549" s="1"/>
    </row>
    <row r="550" ht="15.75" customHeight="1">
      <c r="A550" s="1"/>
      <c r="B550" s="1"/>
      <c r="C550" s="1"/>
      <c r="D550" s="1"/>
    </row>
    <row r="551" ht="15.75" customHeight="1">
      <c r="A551" s="1"/>
      <c r="B551" s="1"/>
      <c r="C551" s="1"/>
      <c r="D551" s="1"/>
    </row>
    <row r="552" ht="15.75" customHeight="1">
      <c r="A552" s="1"/>
      <c r="B552" s="1"/>
      <c r="C552" s="1"/>
      <c r="D552" s="1"/>
    </row>
    <row r="553" ht="15.75" customHeight="1">
      <c r="A553" s="1"/>
      <c r="B553" s="1"/>
      <c r="C553" s="1"/>
      <c r="D553" s="1"/>
    </row>
    <row r="554" ht="15.75" customHeight="1">
      <c r="A554" s="1"/>
      <c r="B554" s="1"/>
      <c r="C554" s="1"/>
      <c r="D554" s="1"/>
    </row>
    <row r="555" ht="15.75" customHeight="1">
      <c r="A555" s="1"/>
      <c r="B555" s="1"/>
      <c r="C555" s="1"/>
      <c r="D555" s="1"/>
    </row>
    <row r="556" ht="15.75" customHeight="1">
      <c r="A556" s="1"/>
      <c r="B556" s="1"/>
      <c r="C556" s="1"/>
      <c r="D556" s="1"/>
    </row>
    <row r="557" ht="15.75" customHeight="1">
      <c r="A557" s="1"/>
      <c r="B557" s="1"/>
      <c r="C557" s="1"/>
      <c r="D557" s="1"/>
    </row>
    <row r="558" ht="15.75" customHeight="1">
      <c r="A558" s="1"/>
      <c r="B558" s="1"/>
      <c r="C558" s="1"/>
      <c r="D558" s="1"/>
    </row>
    <row r="559" ht="15.75" customHeight="1">
      <c r="A559" s="1"/>
      <c r="B559" s="1"/>
      <c r="C559" s="1"/>
      <c r="D559" s="1"/>
    </row>
    <row r="560" ht="15.75" customHeight="1">
      <c r="A560" s="1"/>
      <c r="B560" s="1"/>
      <c r="C560" s="1"/>
      <c r="D560" s="1"/>
    </row>
    <row r="561" ht="15.75" customHeight="1">
      <c r="A561" s="1"/>
      <c r="B561" s="1"/>
      <c r="C561" s="1"/>
      <c r="D561" s="1"/>
    </row>
    <row r="562" ht="15.75" customHeight="1">
      <c r="A562" s="1"/>
      <c r="B562" s="1"/>
      <c r="C562" s="1"/>
      <c r="D562" s="1"/>
    </row>
    <row r="563" ht="15.75" customHeight="1">
      <c r="A563" s="1"/>
      <c r="B563" s="1"/>
      <c r="C563" s="1"/>
      <c r="D563" s="1"/>
    </row>
    <row r="564" ht="15.75" customHeight="1">
      <c r="A564" s="1"/>
      <c r="B564" s="1"/>
      <c r="C564" s="1"/>
      <c r="D564" s="1"/>
    </row>
    <row r="565" ht="15.75" customHeight="1">
      <c r="A565" s="1"/>
      <c r="B565" s="1"/>
      <c r="C565" s="1"/>
      <c r="D565" s="1"/>
    </row>
    <row r="566" ht="15.75" customHeight="1">
      <c r="A566" s="1"/>
      <c r="B566" s="1"/>
      <c r="C566" s="1"/>
      <c r="D566" s="1"/>
    </row>
    <row r="567" ht="15.75" customHeight="1">
      <c r="A567" s="1"/>
      <c r="B567" s="1"/>
      <c r="C567" s="1"/>
      <c r="D567" s="1"/>
    </row>
    <row r="568" ht="15.75" customHeight="1">
      <c r="A568" s="1"/>
      <c r="B568" s="1"/>
      <c r="C568" s="1"/>
      <c r="D568" s="1"/>
    </row>
    <row r="569" ht="15.75" customHeight="1">
      <c r="A569" s="1"/>
      <c r="B569" s="1"/>
      <c r="C569" s="1"/>
      <c r="D569" s="1"/>
    </row>
    <row r="570" ht="15.75" customHeight="1">
      <c r="A570" s="1"/>
      <c r="B570" s="1"/>
      <c r="C570" s="1"/>
      <c r="D570" s="1"/>
    </row>
    <row r="571" ht="15.75" customHeight="1">
      <c r="A571" s="1"/>
      <c r="B571" s="1"/>
      <c r="C571" s="1"/>
      <c r="D571" s="1"/>
    </row>
    <row r="572" ht="15.75" customHeight="1">
      <c r="A572" s="1"/>
      <c r="B572" s="1"/>
      <c r="C572" s="1"/>
      <c r="D572" s="1"/>
    </row>
    <row r="573" ht="15.75" customHeight="1">
      <c r="A573" s="1"/>
      <c r="B573" s="1"/>
      <c r="C573" s="1"/>
      <c r="D573" s="1"/>
    </row>
    <row r="574" ht="15.75" customHeight="1">
      <c r="A574" s="1"/>
      <c r="B574" s="1"/>
      <c r="C574" s="1"/>
      <c r="D574" s="1"/>
    </row>
    <row r="575" ht="15.75" customHeight="1">
      <c r="A575" s="1"/>
      <c r="B575" s="1"/>
      <c r="C575" s="1"/>
      <c r="D575" s="1"/>
    </row>
    <row r="576" ht="15.75" customHeight="1">
      <c r="A576" s="1"/>
      <c r="B576" s="1"/>
      <c r="C576" s="1"/>
      <c r="D576" s="1"/>
    </row>
    <row r="577" ht="15.75" customHeight="1">
      <c r="A577" s="1"/>
      <c r="B577" s="1"/>
      <c r="C577" s="1"/>
      <c r="D577" s="1"/>
    </row>
    <row r="578" ht="15.75" customHeight="1">
      <c r="A578" s="1"/>
      <c r="B578" s="1"/>
      <c r="C578" s="1"/>
      <c r="D578" s="1"/>
    </row>
    <row r="579" ht="15.75" customHeight="1">
      <c r="A579" s="1"/>
      <c r="B579" s="1"/>
      <c r="C579" s="1"/>
      <c r="D579" s="1"/>
    </row>
    <row r="580" ht="15.75" customHeight="1">
      <c r="A580" s="1"/>
      <c r="B580" s="1"/>
      <c r="C580" s="1"/>
      <c r="D580" s="1"/>
    </row>
    <row r="581" ht="15.75" customHeight="1">
      <c r="A581" s="1"/>
      <c r="B581" s="1"/>
      <c r="C581" s="1"/>
      <c r="D581" s="1"/>
    </row>
    <row r="582" ht="15.75" customHeight="1">
      <c r="A582" s="1"/>
      <c r="B582" s="1"/>
      <c r="C582" s="1"/>
      <c r="D582" s="1"/>
    </row>
    <row r="583" ht="15.75" customHeight="1">
      <c r="A583" s="1"/>
      <c r="B583" s="1"/>
      <c r="C583" s="1"/>
      <c r="D583" s="1"/>
    </row>
    <row r="584" ht="15.75" customHeight="1">
      <c r="A584" s="1"/>
      <c r="B584" s="1"/>
      <c r="C584" s="1"/>
      <c r="D584" s="1"/>
    </row>
    <row r="585" ht="15.75" customHeight="1">
      <c r="A585" s="1"/>
      <c r="B585" s="1"/>
      <c r="C585" s="1"/>
      <c r="D585" s="1"/>
    </row>
    <row r="586" ht="15.75" customHeight="1">
      <c r="A586" s="1"/>
      <c r="B586" s="1"/>
      <c r="C586" s="1"/>
      <c r="D586" s="1"/>
    </row>
    <row r="587" ht="15.75" customHeight="1">
      <c r="A587" s="1"/>
      <c r="B587" s="1"/>
      <c r="C587" s="1"/>
      <c r="D587" s="1"/>
    </row>
    <row r="588" ht="15.75" customHeight="1">
      <c r="A588" s="1"/>
      <c r="B588" s="1"/>
      <c r="C588" s="1"/>
      <c r="D588" s="1"/>
    </row>
    <row r="589" ht="15.75" customHeight="1">
      <c r="A589" s="1"/>
      <c r="B589" s="1"/>
      <c r="C589" s="1"/>
      <c r="D589" s="1"/>
    </row>
    <row r="590" ht="15.75" customHeight="1">
      <c r="A590" s="1"/>
      <c r="B590" s="1"/>
      <c r="C590" s="1"/>
      <c r="D590" s="1"/>
    </row>
    <row r="591" ht="15.75" customHeight="1">
      <c r="A591" s="1"/>
      <c r="B591" s="1"/>
      <c r="C591" s="1"/>
      <c r="D591" s="1"/>
    </row>
    <row r="592" ht="15.75" customHeight="1">
      <c r="A592" s="1"/>
      <c r="B592" s="1"/>
      <c r="C592" s="1"/>
      <c r="D592" s="1"/>
    </row>
    <row r="593" ht="15.75" customHeight="1">
      <c r="A593" s="1"/>
      <c r="B593" s="1"/>
      <c r="C593" s="1"/>
      <c r="D593" s="1"/>
    </row>
    <row r="594" ht="15.75" customHeight="1">
      <c r="A594" s="1"/>
      <c r="B594" s="1"/>
      <c r="C594" s="1"/>
      <c r="D594" s="1"/>
    </row>
    <row r="595" ht="15.75" customHeight="1">
      <c r="A595" s="1"/>
      <c r="B595" s="1"/>
      <c r="C595" s="1"/>
      <c r="D595" s="1"/>
    </row>
    <row r="596" ht="15.75" customHeight="1">
      <c r="A596" s="1"/>
      <c r="B596" s="1"/>
      <c r="C596" s="1"/>
      <c r="D596" s="1"/>
    </row>
    <row r="597" ht="15.75" customHeight="1">
      <c r="A597" s="1"/>
      <c r="B597" s="1"/>
      <c r="C597" s="1"/>
      <c r="D597" s="1"/>
    </row>
    <row r="598" ht="15.75" customHeight="1">
      <c r="A598" s="1"/>
      <c r="B598" s="1"/>
      <c r="C598" s="1"/>
      <c r="D598" s="1"/>
    </row>
    <row r="599" ht="15.75" customHeight="1">
      <c r="A599" s="1"/>
      <c r="B599" s="1"/>
      <c r="C599" s="1"/>
      <c r="D599" s="1"/>
    </row>
    <row r="600" ht="15.75" customHeight="1">
      <c r="A600" s="1"/>
      <c r="B600" s="1"/>
      <c r="C600" s="1"/>
      <c r="D600" s="1"/>
    </row>
    <row r="601" ht="15.75" customHeight="1">
      <c r="A601" s="1"/>
      <c r="B601" s="1"/>
      <c r="C601" s="1"/>
      <c r="D601" s="1"/>
    </row>
    <row r="602" ht="15.75" customHeight="1">
      <c r="A602" s="1"/>
      <c r="B602" s="1"/>
      <c r="C602" s="1"/>
      <c r="D602" s="1"/>
    </row>
    <row r="603" ht="15.75" customHeight="1">
      <c r="A603" s="1"/>
      <c r="B603" s="1"/>
      <c r="C603" s="1"/>
      <c r="D603" s="1"/>
    </row>
    <row r="604" ht="15.75" customHeight="1">
      <c r="A604" s="1"/>
      <c r="B604" s="1"/>
      <c r="C604" s="1"/>
      <c r="D604" s="1"/>
    </row>
    <row r="605" ht="15.75" customHeight="1">
      <c r="A605" s="1"/>
      <c r="B605" s="1"/>
      <c r="C605" s="1"/>
      <c r="D605" s="1"/>
    </row>
    <row r="606" ht="15.75" customHeight="1">
      <c r="A606" s="1"/>
      <c r="B606" s="1"/>
      <c r="C606" s="1"/>
      <c r="D606" s="1"/>
    </row>
    <row r="607" ht="15.75" customHeight="1">
      <c r="A607" s="1"/>
      <c r="B607" s="1"/>
      <c r="C607" s="1"/>
      <c r="D607" s="1"/>
    </row>
    <row r="608" ht="15.75" customHeight="1">
      <c r="A608" s="1"/>
      <c r="B608" s="1"/>
      <c r="C608" s="1"/>
      <c r="D608" s="1"/>
    </row>
    <row r="609" ht="15.75" customHeight="1">
      <c r="A609" s="1"/>
      <c r="B609" s="1"/>
      <c r="C609" s="1"/>
      <c r="D609" s="1"/>
    </row>
    <row r="610" ht="15.75" customHeight="1">
      <c r="A610" s="1"/>
      <c r="B610" s="1"/>
      <c r="C610" s="1"/>
      <c r="D610" s="1"/>
    </row>
    <row r="611" ht="15.75" customHeight="1">
      <c r="A611" s="1"/>
      <c r="B611" s="1"/>
      <c r="C611" s="1"/>
      <c r="D611" s="1"/>
    </row>
    <row r="612" ht="15.75" customHeight="1">
      <c r="A612" s="1"/>
      <c r="B612" s="1"/>
      <c r="C612" s="1"/>
      <c r="D612" s="1"/>
    </row>
    <row r="613" ht="15.75" customHeight="1">
      <c r="A613" s="1"/>
      <c r="B613" s="1"/>
      <c r="C613" s="1"/>
      <c r="D613" s="1"/>
    </row>
    <row r="614" ht="15.75" customHeight="1">
      <c r="A614" s="1"/>
      <c r="B614" s="1"/>
      <c r="C614" s="1"/>
      <c r="D614" s="1"/>
    </row>
    <row r="615" ht="15.75" customHeight="1">
      <c r="A615" s="1"/>
      <c r="B615" s="1"/>
      <c r="C615" s="1"/>
      <c r="D615" s="1"/>
    </row>
    <row r="616" ht="15.75" customHeight="1">
      <c r="A616" s="1"/>
      <c r="B616" s="1"/>
      <c r="C616" s="1"/>
      <c r="D616" s="1"/>
    </row>
    <row r="617" ht="15.75" customHeight="1">
      <c r="A617" s="1"/>
      <c r="B617" s="1"/>
      <c r="C617" s="1"/>
      <c r="D617" s="1"/>
    </row>
    <row r="618" ht="15.75" customHeight="1">
      <c r="A618" s="1"/>
      <c r="B618" s="1"/>
      <c r="C618" s="1"/>
      <c r="D618" s="1"/>
    </row>
    <row r="619" ht="15.75" customHeight="1">
      <c r="A619" s="1"/>
      <c r="B619" s="1"/>
      <c r="C619" s="1"/>
      <c r="D619" s="1"/>
    </row>
    <row r="620" ht="15.75" customHeight="1">
      <c r="A620" s="1"/>
      <c r="B620" s="1"/>
      <c r="C620" s="1"/>
      <c r="D620" s="1"/>
    </row>
    <row r="621" ht="15.75" customHeight="1">
      <c r="A621" s="1"/>
      <c r="B621" s="1"/>
      <c r="C621" s="1"/>
      <c r="D621" s="1"/>
    </row>
    <row r="622" ht="15.75" customHeight="1">
      <c r="A622" s="1"/>
      <c r="B622" s="1"/>
      <c r="C622" s="1"/>
      <c r="D622" s="1"/>
    </row>
    <row r="623" ht="15.75" customHeight="1">
      <c r="A623" s="1"/>
      <c r="B623" s="1"/>
      <c r="C623" s="1"/>
      <c r="D623" s="1"/>
    </row>
    <row r="624" ht="15.75" customHeight="1">
      <c r="A624" s="1"/>
      <c r="B624" s="1"/>
      <c r="C624" s="1"/>
      <c r="D624" s="1"/>
    </row>
    <row r="625" ht="15.75" customHeight="1">
      <c r="A625" s="1"/>
      <c r="B625" s="1"/>
      <c r="C625" s="1"/>
      <c r="D625" s="1"/>
    </row>
    <row r="626" ht="15.75" customHeight="1">
      <c r="A626" s="1"/>
      <c r="B626" s="1"/>
      <c r="C626" s="1"/>
      <c r="D626" s="1"/>
    </row>
    <row r="627" ht="15.75" customHeight="1">
      <c r="A627" s="1"/>
      <c r="B627" s="1"/>
      <c r="C627" s="1"/>
      <c r="D627" s="1"/>
    </row>
    <row r="628" ht="15.75" customHeight="1">
      <c r="A628" s="1"/>
      <c r="B628" s="1"/>
      <c r="C628" s="1"/>
      <c r="D628" s="1"/>
    </row>
    <row r="629" ht="15.75" customHeight="1">
      <c r="A629" s="1"/>
      <c r="B629" s="1"/>
      <c r="C629" s="1"/>
      <c r="D629" s="1"/>
    </row>
    <row r="630" ht="15.75" customHeight="1">
      <c r="A630" s="1"/>
      <c r="B630" s="1"/>
      <c r="C630" s="1"/>
      <c r="D630" s="1"/>
    </row>
    <row r="631" ht="15.75" customHeight="1">
      <c r="A631" s="1"/>
      <c r="B631" s="1"/>
      <c r="C631" s="1"/>
      <c r="D631" s="1"/>
    </row>
    <row r="632" ht="15.75" customHeight="1">
      <c r="A632" s="1"/>
      <c r="B632" s="1"/>
      <c r="C632" s="1"/>
      <c r="D632" s="1"/>
    </row>
    <row r="633" ht="15.75" customHeight="1">
      <c r="A633" s="1"/>
      <c r="B633" s="1"/>
      <c r="C633" s="1"/>
      <c r="D633" s="1"/>
    </row>
    <row r="634" ht="15.75" customHeight="1">
      <c r="A634" s="1"/>
      <c r="B634" s="1"/>
      <c r="C634" s="1"/>
      <c r="D634" s="1"/>
    </row>
    <row r="635" ht="15.75" customHeight="1">
      <c r="A635" s="1"/>
      <c r="B635" s="1"/>
      <c r="C635" s="1"/>
      <c r="D635" s="1"/>
    </row>
    <row r="636" ht="15.75" customHeight="1">
      <c r="A636" s="1"/>
      <c r="B636" s="1"/>
      <c r="C636" s="1"/>
      <c r="D636" s="1"/>
    </row>
    <row r="637" ht="15.75" customHeight="1">
      <c r="A637" s="1"/>
      <c r="B637" s="1"/>
      <c r="C637" s="1"/>
      <c r="D637" s="1"/>
    </row>
    <row r="638" ht="15.75" customHeight="1">
      <c r="A638" s="1"/>
      <c r="B638" s="1"/>
      <c r="C638" s="1"/>
      <c r="D638" s="1"/>
    </row>
    <row r="639" ht="15.75" customHeight="1">
      <c r="A639" s="1"/>
      <c r="B639" s="1"/>
      <c r="C639" s="1"/>
      <c r="D639" s="1"/>
    </row>
    <row r="640" ht="15.75" customHeight="1">
      <c r="A640" s="1"/>
      <c r="B640" s="1"/>
      <c r="C640" s="1"/>
      <c r="D640" s="1"/>
    </row>
    <row r="641" ht="15.75" customHeight="1">
      <c r="A641" s="1"/>
      <c r="B641" s="1"/>
      <c r="C641" s="1"/>
      <c r="D641" s="1"/>
    </row>
    <row r="642" ht="15.75" customHeight="1">
      <c r="A642" s="1"/>
      <c r="B642" s="1"/>
      <c r="C642" s="1"/>
      <c r="D642" s="1"/>
    </row>
    <row r="643" ht="15.75" customHeight="1">
      <c r="A643" s="1"/>
      <c r="B643" s="1"/>
      <c r="C643" s="1"/>
      <c r="D643" s="1"/>
    </row>
    <row r="644" ht="15.75" customHeight="1">
      <c r="A644" s="1"/>
      <c r="B644" s="1"/>
      <c r="C644" s="1"/>
      <c r="D644" s="1"/>
    </row>
    <row r="645" ht="15.75" customHeight="1">
      <c r="A645" s="1"/>
      <c r="B645" s="1"/>
      <c r="C645" s="1"/>
      <c r="D645" s="1"/>
    </row>
    <row r="646" ht="15.75" customHeight="1">
      <c r="A646" s="1"/>
      <c r="B646" s="1"/>
      <c r="C646" s="1"/>
      <c r="D646" s="1"/>
    </row>
    <row r="647" ht="15.75" customHeight="1">
      <c r="A647" s="1"/>
      <c r="B647" s="1"/>
      <c r="C647" s="1"/>
      <c r="D647" s="1"/>
    </row>
    <row r="648" ht="15.75" customHeight="1">
      <c r="A648" s="1"/>
      <c r="B648" s="1"/>
      <c r="C648" s="1"/>
      <c r="D648" s="1"/>
    </row>
    <row r="649" ht="15.75" customHeight="1">
      <c r="A649" s="1"/>
      <c r="B649" s="1"/>
      <c r="C649" s="1"/>
      <c r="D649" s="1"/>
    </row>
    <row r="650" ht="15.75" customHeight="1">
      <c r="A650" s="1"/>
      <c r="B650" s="1"/>
      <c r="C650" s="1"/>
      <c r="D650" s="1"/>
    </row>
    <row r="651" ht="15.75" customHeight="1">
      <c r="A651" s="1"/>
      <c r="B651" s="1"/>
      <c r="C651" s="1"/>
      <c r="D651" s="1"/>
    </row>
    <row r="652" ht="15.75" customHeight="1">
      <c r="A652" s="1"/>
      <c r="B652" s="1"/>
      <c r="C652" s="1"/>
      <c r="D652" s="1"/>
    </row>
    <row r="653" ht="15.75" customHeight="1">
      <c r="A653" s="1"/>
      <c r="B653" s="1"/>
      <c r="C653" s="1"/>
      <c r="D653" s="1"/>
    </row>
    <row r="654" ht="15.75" customHeight="1">
      <c r="A654" s="1"/>
      <c r="B654" s="1"/>
      <c r="C654" s="1"/>
      <c r="D654" s="1"/>
    </row>
    <row r="655" ht="15.75" customHeight="1">
      <c r="A655" s="1"/>
      <c r="B655" s="1"/>
      <c r="C655" s="1"/>
      <c r="D655" s="1"/>
    </row>
    <row r="656" ht="15.75" customHeight="1">
      <c r="A656" s="1"/>
      <c r="B656" s="1"/>
      <c r="C656" s="1"/>
      <c r="D656" s="1"/>
    </row>
    <row r="657" ht="15.75" customHeight="1">
      <c r="A657" s="1"/>
      <c r="B657" s="1"/>
      <c r="C657" s="1"/>
      <c r="D657" s="1"/>
    </row>
    <row r="658" ht="15.75" customHeight="1">
      <c r="A658" s="1"/>
      <c r="B658" s="1"/>
      <c r="C658" s="1"/>
      <c r="D658" s="1"/>
    </row>
    <row r="659" ht="15.75" customHeight="1">
      <c r="A659" s="1"/>
      <c r="B659" s="1"/>
      <c r="C659" s="1"/>
      <c r="D659" s="1"/>
    </row>
    <row r="660" ht="15.75" customHeight="1">
      <c r="A660" s="1"/>
      <c r="B660" s="1"/>
      <c r="C660" s="1"/>
      <c r="D660" s="1"/>
    </row>
    <row r="661" ht="15.75" customHeight="1">
      <c r="A661" s="1"/>
      <c r="B661" s="1"/>
      <c r="C661" s="1"/>
      <c r="D661" s="1"/>
    </row>
    <row r="662" ht="15.75" customHeight="1">
      <c r="A662" s="1"/>
      <c r="B662" s="1"/>
      <c r="C662" s="1"/>
      <c r="D662" s="1"/>
    </row>
    <row r="663" ht="15.75" customHeight="1">
      <c r="A663" s="1"/>
      <c r="B663" s="1"/>
      <c r="C663" s="1"/>
      <c r="D663" s="1"/>
    </row>
    <row r="664" ht="15.75" customHeight="1">
      <c r="A664" s="1"/>
      <c r="B664" s="1"/>
      <c r="C664" s="1"/>
      <c r="D664" s="1"/>
    </row>
    <row r="665" ht="15.75" customHeight="1">
      <c r="A665" s="1"/>
      <c r="B665" s="1"/>
      <c r="C665" s="1"/>
      <c r="D665" s="1"/>
    </row>
    <row r="666" ht="15.75" customHeight="1">
      <c r="A666" s="1"/>
      <c r="B666" s="1"/>
      <c r="C666" s="1"/>
      <c r="D666" s="1"/>
    </row>
    <row r="667" ht="15.75" customHeight="1">
      <c r="A667" s="1"/>
      <c r="B667" s="1"/>
      <c r="C667" s="1"/>
      <c r="D667" s="1"/>
    </row>
    <row r="668" ht="15.75" customHeight="1">
      <c r="A668" s="1"/>
      <c r="B668" s="1"/>
      <c r="C668" s="1"/>
      <c r="D668" s="1"/>
    </row>
    <row r="669" ht="15.75" customHeight="1">
      <c r="A669" s="1"/>
      <c r="B669" s="1"/>
      <c r="C669" s="1"/>
      <c r="D669" s="1"/>
    </row>
    <row r="670" ht="15.75" customHeight="1">
      <c r="A670" s="1"/>
      <c r="B670" s="1"/>
      <c r="C670" s="1"/>
      <c r="D670" s="1"/>
    </row>
    <row r="671" ht="15.75" customHeight="1">
      <c r="A671" s="1"/>
      <c r="B671" s="1"/>
      <c r="C671" s="1"/>
      <c r="D671" s="1"/>
    </row>
    <row r="672" ht="15.75" customHeight="1">
      <c r="A672" s="1"/>
      <c r="B672" s="1"/>
      <c r="C672" s="1"/>
      <c r="D672" s="1"/>
    </row>
    <row r="673" ht="15.75" customHeight="1">
      <c r="A673" s="1"/>
      <c r="B673" s="1"/>
      <c r="C673" s="1"/>
      <c r="D673" s="1"/>
    </row>
    <row r="674" ht="15.75" customHeight="1">
      <c r="A674" s="1"/>
      <c r="B674" s="1"/>
      <c r="C674" s="1"/>
      <c r="D674" s="1"/>
    </row>
    <row r="675" ht="15.75" customHeight="1">
      <c r="A675" s="1"/>
      <c r="B675" s="1"/>
      <c r="C675" s="1"/>
      <c r="D675" s="1"/>
    </row>
    <row r="676" ht="15.75" customHeight="1">
      <c r="A676" s="1"/>
      <c r="B676" s="1"/>
      <c r="C676" s="1"/>
      <c r="D676" s="1"/>
    </row>
    <row r="677" ht="15.75" customHeight="1">
      <c r="A677" s="1"/>
      <c r="B677" s="1"/>
      <c r="C677" s="1"/>
      <c r="D677" s="1"/>
    </row>
    <row r="678" ht="15.75" customHeight="1">
      <c r="A678" s="1"/>
      <c r="B678" s="1"/>
      <c r="C678" s="1"/>
      <c r="D678" s="1"/>
    </row>
    <row r="679" ht="15.75" customHeight="1">
      <c r="A679" s="1"/>
      <c r="B679" s="1"/>
      <c r="C679" s="1"/>
      <c r="D679" s="1"/>
    </row>
    <row r="680" ht="15.75" customHeight="1">
      <c r="A680" s="1"/>
      <c r="B680" s="1"/>
      <c r="C680" s="1"/>
      <c r="D680" s="1"/>
    </row>
    <row r="681" ht="15.75" customHeight="1">
      <c r="A681" s="1"/>
      <c r="B681" s="1"/>
      <c r="C681" s="1"/>
      <c r="D681" s="1"/>
    </row>
    <row r="682" ht="15.75" customHeight="1">
      <c r="A682" s="1"/>
      <c r="B682" s="1"/>
      <c r="C682" s="1"/>
      <c r="D682" s="1"/>
    </row>
    <row r="683" ht="15.75" customHeight="1">
      <c r="A683" s="1"/>
      <c r="B683" s="1"/>
      <c r="C683" s="1"/>
      <c r="D683" s="1"/>
    </row>
    <row r="684" ht="15.75" customHeight="1">
      <c r="A684" s="1"/>
      <c r="B684" s="1"/>
      <c r="C684" s="1"/>
      <c r="D684" s="1"/>
    </row>
    <row r="685" ht="15.75" customHeight="1">
      <c r="A685" s="1"/>
      <c r="B685" s="1"/>
      <c r="C685" s="1"/>
      <c r="D685" s="1"/>
    </row>
    <row r="686" ht="15.75" customHeight="1">
      <c r="A686" s="1"/>
      <c r="B686" s="1"/>
      <c r="C686" s="1"/>
      <c r="D686" s="1"/>
    </row>
    <row r="687" ht="15.75" customHeight="1">
      <c r="A687" s="1"/>
      <c r="B687" s="1"/>
      <c r="C687" s="1"/>
      <c r="D687" s="1"/>
    </row>
    <row r="688" ht="15.75" customHeight="1">
      <c r="A688" s="1"/>
      <c r="B688" s="1"/>
      <c r="C688" s="1"/>
      <c r="D688" s="1"/>
    </row>
    <row r="689" ht="15.75" customHeight="1">
      <c r="A689" s="1"/>
      <c r="B689" s="1"/>
      <c r="C689" s="1"/>
      <c r="D689" s="1"/>
    </row>
    <row r="690" ht="15.75" customHeight="1">
      <c r="A690" s="1"/>
      <c r="B690" s="1"/>
      <c r="C690" s="1"/>
      <c r="D690" s="1"/>
    </row>
    <row r="691" ht="15.75" customHeight="1">
      <c r="A691" s="1"/>
      <c r="B691" s="1"/>
      <c r="C691" s="1"/>
      <c r="D691" s="1"/>
    </row>
    <row r="692" ht="15.75" customHeight="1">
      <c r="A692" s="1"/>
      <c r="B692" s="1"/>
      <c r="C692" s="1"/>
      <c r="D692" s="1"/>
    </row>
    <row r="693" ht="15.75" customHeight="1">
      <c r="A693" s="1"/>
      <c r="B693" s="1"/>
      <c r="C693" s="1"/>
      <c r="D693" s="1"/>
    </row>
    <row r="694" ht="15.75" customHeight="1">
      <c r="A694" s="1"/>
      <c r="B694" s="1"/>
      <c r="C694" s="1"/>
      <c r="D694" s="1"/>
    </row>
    <row r="695" ht="15.75" customHeight="1">
      <c r="A695" s="1"/>
      <c r="B695" s="1"/>
      <c r="C695" s="1"/>
      <c r="D695" s="1"/>
    </row>
    <row r="696" ht="15.75" customHeight="1">
      <c r="A696" s="1"/>
      <c r="B696" s="1"/>
      <c r="C696" s="1"/>
      <c r="D696" s="1"/>
    </row>
    <row r="697" ht="15.75" customHeight="1">
      <c r="A697" s="1"/>
      <c r="B697" s="1"/>
      <c r="C697" s="1"/>
      <c r="D697" s="1"/>
    </row>
    <row r="698" ht="15.75" customHeight="1">
      <c r="A698" s="1"/>
      <c r="B698" s="1"/>
      <c r="C698" s="1"/>
      <c r="D698" s="1"/>
    </row>
    <row r="699" ht="15.75" customHeight="1">
      <c r="A699" s="1"/>
      <c r="B699" s="1"/>
      <c r="C699" s="1"/>
      <c r="D699" s="1"/>
    </row>
    <row r="700" ht="15.75" customHeight="1">
      <c r="A700" s="1"/>
      <c r="B700" s="1"/>
      <c r="C700" s="1"/>
      <c r="D700" s="1"/>
    </row>
    <row r="701" ht="15.75" customHeight="1">
      <c r="A701" s="1"/>
      <c r="B701" s="1"/>
      <c r="C701" s="1"/>
      <c r="D701" s="1"/>
    </row>
    <row r="702" ht="15.75" customHeight="1">
      <c r="A702" s="1"/>
      <c r="B702" s="1"/>
      <c r="C702" s="1"/>
      <c r="D702" s="1"/>
    </row>
    <row r="703" ht="15.75" customHeight="1">
      <c r="A703" s="1"/>
      <c r="B703" s="1"/>
      <c r="C703" s="1"/>
      <c r="D703" s="1"/>
    </row>
    <row r="704" ht="15.75" customHeight="1">
      <c r="A704" s="1"/>
      <c r="B704" s="1"/>
      <c r="C704" s="1"/>
      <c r="D704" s="1"/>
    </row>
    <row r="705" ht="15.75" customHeight="1">
      <c r="A705" s="1"/>
      <c r="B705" s="1"/>
      <c r="C705" s="1"/>
      <c r="D705" s="1"/>
    </row>
    <row r="706" ht="15.75" customHeight="1">
      <c r="A706" s="1"/>
      <c r="B706" s="1"/>
      <c r="C706" s="1"/>
      <c r="D706" s="1"/>
    </row>
    <row r="707" ht="15.75" customHeight="1">
      <c r="A707" s="1"/>
      <c r="B707" s="1"/>
      <c r="C707" s="1"/>
      <c r="D707" s="1"/>
    </row>
    <row r="708" ht="15.75" customHeight="1">
      <c r="A708" s="1"/>
      <c r="B708" s="1"/>
      <c r="C708" s="1"/>
      <c r="D708" s="1"/>
    </row>
    <row r="709" ht="15.75" customHeight="1">
      <c r="A709" s="1"/>
      <c r="B709" s="1"/>
      <c r="C709" s="1"/>
      <c r="D709" s="1"/>
    </row>
    <row r="710" ht="15.75" customHeight="1">
      <c r="A710" s="1"/>
      <c r="B710" s="1"/>
      <c r="C710" s="1"/>
      <c r="D710" s="1"/>
    </row>
    <row r="711" ht="15.75" customHeight="1">
      <c r="A711" s="1"/>
      <c r="B711" s="1"/>
      <c r="C711" s="1"/>
      <c r="D711" s="1"/>
    </row>
    <row r="712" ht="15.75" customHeight="1">
      <c r="A712" s="1"/>
      <c r="B712" s="1"/>
      <c r="C712" s="1"/>
      <c r="D712" s="1"/>
    </row>
    <row r="713" ht="15.75" customHeight="1">
      <c r="A713" s="1"/>
      <c r="B713" s="1"/>
      <c r="C713" s="1"/>
      <c r="D713" s="1"/>
    </row>
    <row r="714" ht="15.75" customHeight="1">
      <c r="A714" s="1"/>
      <c r="B714" s="1"/>
      <c r="C714" s="1"/>
      <c r="D714" s="1"/>
    </row>
    <row r="715" ht="15.75" customHeight="1">
      <c r="A715" s="1"/>
      <c r="B715" s="1"/>
      <c r="C715" s="1"/>
      <c r="D715" s="1"/>
    </row>
    <row r="716" ht="15.75" customHeight="1">
      <c r="A716" s="1"/>
      <c r="B716" s="1"/>
      <c r="C716" s="1"/>
      <c r="D716" s="1"/>
    </row>
    <row r="717" ht="15.75" customHeight="1">
      <c r="A717" s="1"/>
      <c r="B717" s="1"/>
      <c r="C717" s="1"/>
      <c r="D717" s="1"/>
    </row>
    <row r="718" ht="15.75" customHeight="1">
      <c r="A718" s="1"/>
      <c r="B718" s="1"/>
      <c r="C718" s="1"/>
      <c r="D718" s="1"/>
    </row>
    <row r="719" ht="15.75" customHeight="1">
      <c r="A719" s="1"/>
      <c r="B719" s="1"/>
      <c r="C719" s="1"/>
      <c r="D719" s="1"/>
    </row>
    <row r="720" ht="15.75" customHeight="1">
      <c r="A720" s="1"/>
      <c r="B720" s="1"/>
      <c r="C720" s="1"/>
      <c r="D720" s="1"/>
    </row>
    <row r="721" ht="15.75" customHeight="1">
      <c r="A721" s="1"/>
      <c r="B721" s="1"/>
      <c r="C721" s="1"/>
      <c r="D721" s="1"/>
    </row>
    <row r="722" ht="15.75" customHeight="1">
      <c r="A722" s="1"/>
      <c r="B722" s="1"/>
      <c r="C722" s="1"/>
      <c r="D722" s="1"/>
    </row>
    <row r="723" ht="15.75" customHeight="1">
      <c r="A723" s="1"/>
      <c r="B723" s="1"/>
      <c r="C723" s="1"/>
      <c r="D723" s="1"/>
    </row>
    <row r="724" ht="15.75" customHeight="1">
      <c r="A724" s="1"/>
      <c r="B724" s="1"/>
      <c r="C724" s="1"/>
      <c r="D724" s="1"/>
    </row>
    <row r="725" ht="15.75" customHeight="1">
      <c r="A725" s="1"/>
      <c r="B725" s="1"/>
      <c r="C725" s="1"/>
      <c r="D725" s="1"/>
    </row>
    <row r="726" ht="15.75" customHeight="1">
      <c r="A726" s="1"/>
      <c r="B726" s="1"/>
      <c r="C726" s="1"/>
      <c r="D726" s="1"/>
    </row>
    <row r="727" ht="15.75" customHeight="1">
      <c r="A727" s="1"/>
      <c r="B727" s="1"/>
      <c r="C727" s="1"/>
      <c r="D727" s="1"/>
    </row>
    <row r="728" ht="15.75" customHeight="1">
      <c r="A728" s="1"/>
      <c r="B728" s="1"/>
      <c r="C728" s="1"/>
      <c r="D728" s="1"/>
    </row>
    <row r="729" ht="15.75" customHeight="1">
      <c r="A729" s="1"/>
      <c r="B729" s="1"/>
      <c r="C729" s="1"/>
      <c r="D729" s="1"/>
    </row>
    <row r="730" ht="15.75" customHeight="1">
      <c r="A730" s="1"/>
      <c r="B730" s="1"/>
      <c r="C730" s="1"/>
      <c r="D730" s="1"/>
    </row>
    <row r="731" ht="15.75" customHeight="1">
      <c r="A731" s="1"/>
      <c r="B731" s="1"/>
      <c r="C731" s="1"/>
      <c r="D731" s="1"/>
    </row>
    <row r="732" ht="15.75" customHeight="1">
      <c r="A732" s="1"/>
      <c r="B732" s="1"/>
      <c r="C732" s="1"/>
      <c r="D732" s="1"/>
    </row>
    <row r="733" ht="15.75" customHeight="1">
      <c r="A733" s="1"/>
      <c r="B733" s="1"/>
      <c r="C733" s="1"/>
      <c r="D733" s="1"/>
    </row>
    <row r="734" ht="15.75" customHeight="1">
      <c r="A734" s="1"/>
      <c r="B734" s="1"/>
      <c r="C734" s="1"/>
      <c r="D734" s="1"/>
    </row>
    <row r="735" ht="15.75" customHeight="1">
      <c r="A735" s="1"/>
      <c r="B735" s="1"/>
      <c r="C735" s="1"/>
      <c r="D735" s="1"/>
    </row>
    <row r="736" ht="15.75" customHeight="1">
      <c r="A736" s="1"/>
      <c r="B736" s="1"/>
      <c r="C736" s="1"/>
      <c r="D736" s="1"/>
    </row>
    <row r="737" ht="15.75" customHeight="1">
      <c r="A737" s="1"/>
      <c r="B737" s="1"/>
      <c r="C737" s="1"/>
      <c r="D737" s="1"/>
    </row>
    <row r="738" ht="15.75" customHeight="1">
      <c r="A738" s="1"/>
      <c r="B738" s="1"/>
      <c r="C738" s="1"/>
      <c r="D738" s="1"/>
    </row>
    <row r="739" ht="15.75" customHeight="1">
      <c r="A739" s="1"/>
      <c r="B739" s="1"/>
      <c r="C739" s="1"/>
      <c r="D739" s="1"/>
    </row>
    <row r="740" ht="15.75" customHeight="1">
      <c r="A740" s="1"/>
      <c r="B740" s="1"/>
      <c r="C740" s="1"/>
      <c r="D740" s="1"/>
    </row>
    <row r="741" ht="15.75" customHeight="1">
      <c r="A741" s="1"/>
      <c r="B741" s="1"/>
      <c r="C741" s="1"/>
      <c r="D741" s="1"/>
    </row>
    <row r="742" ht="15.75" customHeight="1">
      <c r="A742" s="1"/>
      <c r="B742" s="1"/>
      <c r="C742" s="1"/>
      <c r="D742" s="1"/>
    </row>
    <row r="743" ht="15.75" customHeight="1">
      <c r="A743" s="1"/>
      <c r="B743" s="1"/>
      <c r="C743" s="1"/>
      <c r="D743" s="1"/>
    </row>
    <row r="744" ht="15.75" customHeight="1">
      <c r="A744" s="1"/>
      <c r="B744" s="1"/>
      <c r="C744" s="1"/>
      <c r="D744" s="1"/>
    </row>
    <row r="745" ht="15.75" customHeight="1">
      <c r="A745" s="1"/>
      <c r="B745" s="1"/>
      <c r="C745" s="1"/>
      <c r="D745" s="1"/>
    </row>
    <row r="746" ht="15.75" customHeight="1">
      <c r="A746" s="1"/>
      <c r="B746" s="1"/>
      <c r="C746" s="1"/>
      <c r="D746" s="1"/>
    </row>
    <row r="747" ht="15.75" customHeight="1">
      <c r="A747" s="1"/>
      <c r="B747" s="1"/>
      <c r="C747" s="1"/>
      <c r="D747" s="1"/>
    </row>
    <row r="748" ht="15.75" customHeight="1">
      <c r="A748" s="1"/>
      <c r="B748" s="1"/>
      <c r="C748" s="1"/>
      <c r="D748" s="1"/>
    </row>
    <row r="749" ht="15.75" customHeight="1">
      <c r="A749" s="1"/>
      <c r="B749" s="1"/>
      <c r="C749" s="1"/>
      <c r="D749" s="1"/>
    </row>
    <row r="750" ht="15.75" customHeight="1">
      <c r="A750" s="1"/>
      <c r="B750" s="1"/>
      <c r="C750" s="1"/>
      <c r="D750" s="1"/>
    </row>
    <row r="751" ht="15.75" customHeight="1">
      <c r="A751" s="1"/>
      <c r="B751" s="1"/>
      <c r="C751" s="1"/>
      <c r="D751" s="1"/>
    </row>
    <row r="752" ht="15.75" customHeight="1">
      <c r="A752" s="1"/>
      <c r="B752" s="1"/>
      <c r="C752" s="1"/>
      <c r="D752" s="1"/>
    </row>
    <row r="753" ht="15.75" customHeight="1">
      <c r="A753" s="1"/>
      <c r="B753" s="1"/>
      <c r="C753" s="1"/>
      <c r="D753" s="1"/>
    </row>
    <row r="754" ht="15.75" customHeight="1">
      <c r="A754" s="1"/>
      <c r="B754" s="1"/>
      <c r="C754" s="1"/>
      <c r="D754" s="1"/>
    </row>
    <row r="755" ht="15.75" customHeight="1">
      <c r="A755" s="1"/>
      <c r="B755" s="1"/>
      <c r="C755" s="1"/>
      <c r="D755" s="1"/>
    </row>
    <row r="756" ht="15.75" customHeight="1">
      <c r="A756" s="1"/>
      <c r="B756" s="1"/>
      <c r="C756" s="1"/>
      <c r="D756" s="1"/>
    </row>
    <row r="757" ht="15.75" customHeight="1">
      <c r="A757" s="1"/>
      <c r="B757" s="1"/>
      <c r="C757" s="1"/>
      <c r="D757" s="1"/>
    </row>
    <row r="758" ht="15.75" customHeight="1">
      <c r="A758" s="1"/>
      <c r="B758" s="1"/>
      <c r="C758" s="1"/>
      <c r="D758" s="1"/>
    </row>
    <row r="759" ht="15.75" customHeight="1">
      <c r="A759" s="1"/>
      <c r="B759" s="1"/>
      <c r="C759" s="1"/>
      <c r="D759" s="1"/>
    </row>
    <row r="760" ht="15.75" customHeight="1">
      <c r="A760" s="1"/>
      <c r="B760" s="1"/>
      <c r="C760" s="1"/>
      <c r="D760" s="1"/>
    </row>
    <row r="761" ht="15.75" customHeight="1">
      <c r="A761" s="1"/>
      <c r="B761" s="1"/>
      <c r="C761" s="1"/>
      <c r="D761" s="1"/>
    </row>
    <row r="762" ht="15.75" customHeight="1">
      <c r="A762" s="1"/>
      <c r="B762" s="1"/>
      <c r="C762" s="1"/>
      <c r="D762" s="1"/>
    </row>
    <row r="763" ht="15.75" customHeight="1">
      <c r="A763" s="1"/>
      <c r="B763" s="1"/>
      <c r="C763" s="1"/>
      <c r="D763" s="1"/>
    </row>
    <row r="764" ht="15.75" customHeight="1">
      <c r="A764" s="1"/>
      <c r="B764" s="1"/>
      <c r="C764" s="1"/>
      <c r="D764" s="1"/>
    </row>
    <row r="765" ht="15.75" customHeight="1">
      <c r="A765" s="1"/>
      <c r="B765" s="1"/>
      <c r="C765" s="1"/>
      <c r="D765" s="1"/>
    </row>
    <row r="766" ht="15.75" customHeight="1">
      <c r="A766" s="1"/>
      <c r="B766" s="1"/>
      <c r="C766" s="1"/>
      <c r="D766" s="1"/>
    </row>
    <row r="767" ht="15.75" customHeight="1">
      <c r="A767" s="1"/>
      <c r="B767" s="1"/>
      <c r="C767" s="1"/>
      <c r="D767" s="1"/>
    </row>
    <row r="768" ht="15.75" customHeight="1">
      <c r="A768" s="1"/>
      <c r="B768" s="1"/>
      <c r="C768" s="1"/>
      <c r="D768" s="1"/>
    </row>
    <row r="769" ht="15.75" customHeight="1">
      <c r="A769" s="1"/>
      <c r="B769" s="1"/>
      <c r="C769" s="1"/>
      <c r="D769" s="1"/>
    </row>
    <row r="770" ht="15.75" customHeight="1">
      <c r="A770" s="1"/>
      <c r="B770" s="1"/>
      <c r="C770" s="1"/>
      <c r="D770" s="1"/>
    </row>
    <row r="771" ht="15.75" customHeight="1">
      <c r="A771" s="1"/>
      <c r="B771" s="1"/>
      <c r="C771" s="1"/>
      <c r="D771" s="1"/>
    </row>
    <row r="772" ht="15.75" customHeight="1">
      <c r="A772" s="1"/>
      <c r="B772" s="1"/>
      <c r="C772" s="1"/>
      <c r="D772" s="1"/>
    </row>
    <row r="773" ht="15.75" customHeight="1">
      <c r="A773" s="1"/>
      <c r="B773" s="1"/>
      <c r="C773" s="1"/>
      <c r="D773" s="1"/>
    </row>
    <row r="774" ht="15.75" customHeight="1">
      <c r="A774" s="1"/>
      <c r="B774" s="1"/>
      <c r="C774" s="1"/>
      <c r="D774" s="1"/>
    </row>
    <row r="775" ht="15.75" customHeight="1">
      <c r="A775" s="1"/>
      <c r="B775" s="1"/>
      <c r="C775" s="1"/>
      <c r="D775" s="1"/>
    </row>
    <row r="776" ht="15.75" customHeight="1">
      <c r="A776" s="1"/>
      <c r="B776" s="1"/>
      <c r="C776" s="1"/>
      <c r="D776" s="1"/>
    </row>
    <row r="777" ht="15.75" customHeight="1">
      <c r="A777" s="1"/>
      <c r="B777" s="1"/>
      <c r="C777" s="1"/>
      <c r="D777" s="1"/>
    </row>
    <row r="778" ht="15.75" customHeight="1">
      <c r="A778" s="1"/>
      <c r="B778" s="1"/>
      <c r="C778" s="1"/>
      <c r="D778" s="1"/>
    </row>
    <row r="779" ht="15.75" customHeight="1">
      <c r="A779" s="1"/>
      <c r="B779" s="1"/>
      <c r="C779" s="1"/>
      <c r="D779" s="1"/>
    </row>
    <row r="780" ht="15.75" customHeight="1">
      <c r="A780" s="1"/>
      <c r="B780" s="1"/>
      <c r="C780" s="1"/>
      <c r="D780" s="1"/>
    </row>
    <row r="781" ht="15.75" customHeight="1">
      <c r="A781" s="1"/>
      <c r="B781" s="1"/>
      <c r="C781" s="1"/>
      <c r="D781" s="1"/>
    </row>
    <row r="782" ht="15.75" customHeight="1">
      <c r="A782" s="1"/>
      <c r="B782" s="1"/>
      <c r="C782" s="1"/>
      <c r="D782" s="1"/>
    </row>
    <row r="783" ht="15.75" customHeight="1">
      <c r="A783" s="1"/>
      <c r="B783" s="1"/>
      <c r="C783" s="1"/>
      <c r="D783" s="1"/>
    </row>
    <row r="784" ht="15.75" customHeight="1">
      <c r="A784" s="1"/>
      <c r="B784" s="1"/>
      <c r="C784" s="1"/>
      <c r="D784" s="1"/>
    </row>
    <row r="785" ht="15.75" customHeight="1">
      <c r="A785" s="1"/>
      <c r="B785" s="1"/>
      <c r="C785" s="1"/>
      <c r="D785" s="1"/>
    </row>
    <row r="786" ht="15.75" customHeight="1">
      <c r="A786" s="1"/>
      <c r="B786" s="1"/>
      <c r="C786" s="1"/>
      <c r="D786" s="1"/>
    </row>
    <row r="787" ht="15.75" customHeight="1">
      <c r="A787" s="1"/>
      <c r="B787" s="1"/>
      <c r="C787" s="1"/>
      <c r="D787" s="1"/>
    </row>
    <row r="788" ht="15.75" customHeight="1">
      <c r="A788" s="1"/>
      <c r="B788" s="1"/>
      <c r="C788" s="1"/>
      <c r="D788" s="1"/>
    </row>
    <row r="789" ht="15.75" customHeight="1">
      <c r="A789" s="1"/>
      <c r="B789" s="1"/>
      <c r="C789" s="1"/>
      <c r="D789" s="1"/>
    </row>
    <row r="790" ht="15.75" customHeight="1">
      <c r="A790" s="1"/>
      <c r="B790" s="1"/>
      <c r="C790" s="1"/>
      <c r="D790" s="1"/>
    </row>
    <row r="791" ht="15.75" customHeight="1">
      <c r="A791" s="1"/>
      <c r="B791" s="1"/>
      <c r="C791" s="1"/>
      <c r="D791" s="1"/>
    </row>
    <row r="792" ht="15.75" customHeight="1">
      <c r="A792" s="1"/>
      <c r="B792" s="1"/>
      <c r="C792" s="1"/>
      <c r="D792" s="1"/>
    </row>
    <row r="793" ht="15.75" customHeight="1">
      <c r="A793" s="1"/>
      <c r="B793" s="1"/>
      <c r="C793" s="1"/>
      <c r="D793" s="1"/>
    </row>
    <row r="794" ht="15.75" customHeight="1">
      <c r="A794" s="1"/>
      <c r="B794" s="1"/>
      <c r="C794" s="1"/>
      <c r="D794" s="1"/>
    </row>
    <row r="795" ht="15.75" customHeight="1">
      <c r="A795" s="1"/>
      <c r="B795" s="1"/>
      <c r="C795" s="1"/>
      <c r="D795" s="1"/>
    </row>
    <row r="796" ht="15.75" customHeight="1">
      <c r="A796" s="1"/>
      <c r="B796" s="1"/>
      <c r="C796" s="1"/>
      <c r="D796" s="1"/>
    </row>
    <row r="797" ht="15.75" customHeight="1">
      <c r="A797" s="1"/>
      <c r="B797" s="1"/>
      <c r="C797" s="1"/>
      <c r="D797" s="1"/>
    </row>
    <row r="798" ht="15.75" customHeight="1">
      <c r="A798" s="1"/>
      <c r="B798" s="1"/>
      <c r="C798" s="1"/>
      <c r="D798" s="1"/>
    </row>
    <row r="799" ht="15.75" customHeight="1">
      <c r="A799" s="1"/>
      <c r="B799" s="1"/>
      <c r="C799" s="1"/>
      <c r="D799" s="1"/>
    </row>
    <row r="800" ht="15.75" customHeight="1">
      <c r="A800" s="1"/>
      <c r="B800" s="1"/>
      <c r="C800" s="1"/>
      <c r="D800" s="1"/>
    </row>
    <row r="801" ht="15.75" customHeight="1">
      <c r="A801" s="1"/>
      <c r="B801" s="1"/>
      <c r="C801" s="1"/>
      <c r="D801" s="1"/>
    </row>
    <row r="802" ht="15.75" customHeight="1">
      <c r="A802" s="1"/>
      <c r="B802" s="1"/>
      <c r="C802" s="1"/>
      <c r="D802" s="1"/>
    </row>
    <row r="803" ht="15.75" customHeight="1">
      <c r="A803" s="1"/>
      <c r="B803" s="1"/>
      <c r="C803" s="1"/>
      <c r="D803" s="1"/>
    </row>
    <row r="804" ht="15.75" customHeight="1">
      <c r="A804" s="1"/>
      <c r="B804" s="1"/>
      <c r="C804" s="1"/>
      <c r="D804" s="1"/>
    </row>
    <row r="805" ht="15.75" customHeight="1">
      <c r="A805" s="1"/>
      <c r="B805" s="1"/>
      <c r="C805" s="1"/>
      <c r="D805" s="1"/>
    </row>
    <row r="806" ht="15.75" customHeight="1">
      <c r="A806" s="1"/>
      <c r="B806" s="1"/>
      <c r="C806" s="1"/>
      <c r="D806" s="1"/>
    </row>
    <row r="807" ht="15.75" customHeight="1">
      <c r="A807" s="1"/>
      <c r="B807" s="1"/>
      <c r="C807" s="1"/>
      <c r="D807" s="1"/>
    </row>
    <row r="808" ht="15.75" customHeight="1">
      <c r="A808" s="1"/>
      <c r="B808" s="1"/>
      <c r="C808" s="1"/>
      <c r="D808" s="1"/>
    </row>
    <row r="809" ht="15.75" customHeight="1">
      <c r="A809" s="1"/>
      <c r="B809" s="1"/>
      <c r="C809" s="1"/>
      <c r="D809" s="1"/>
    </row>
    <row r="810" ht="15.75" customHeight="1">
      <c r="A810" s="1"/>
      <c r="B810" s="1"/>
      <c r="C810" s="1"/>
      <c r="D810" s="1"/>
    </row>
    <row r="811" ht="15.75" customHeight="1">
      <c r="A811" s="1"/>
      <c r="B811" s="1"/>
      <c r="C811" s="1"/>
      <c r="D811" s="1"/>
    </row>
    <row r="812" ht="15.75" customHeight="1">
      <c r="A812" s="1"/>
      <c r="B812" s="1"/>
      <c r="C812" s="1"/>
      <c r="D812" s="1"/>
    </row>
    <row r="813" ht="15.75" customHeight="1">
      <c r="A813" s="1"/>
      <c r="B813" s="1"/>
      <c r="C813" s="1"/>
      <c r="D813" s="1"/>
    </row>
    <row r="814" ht="15.75" customHeight="1">
      <c r="A814" s="1"/>
      <c r="B814" s="1"/>
      <c r="C814" s="1"/>
      <c r="D814" s="1"/>
    </row>
    <row r="815" ht="15.75" customHeight="1">
      <c r="A815" s="1"/>
      <c r="B815" s="1"/>
      <c r="C815" s="1"/>
      <c r="D815" s="1"/>
    </row>
    <row r="816" ht="15.75" customHeight="1">
      <c r="A816" s="1"/>
      <c r="B816" s="1"/>
      <c r="C816" s="1"/>
      <c r="D816" s="1"/>
    </row>
    <row r="817" ht="15.75" customHeight="1">
      <c r="A817" s="1"/>
      <c r="B817" s="1"/>
      <c r="C817" s="1"/>
      <c r="D817" s="1"/>
    </row>
    <row r="818" ht="15.75" customHeight="1">
      <c r="A818" s="1"/>
      <c r="B818" s="1"/>
      <c r="C818" s="1"/>
      <c r="D818" s="1"/>
    </row>
    <row r="819" ht="15.75" customHeight="1">
      <c r="A819" s="1"/>
      <c r="B819" s="1"/>
      <c r="C819" s="1"/>
      <c r="D819" s="1"/>
    </row>
    <row r="820" ht="15.75" customHeight="1">
      <c r="A820" s="1"/>
      <c r="B820" s="1"/>
      <c r="C820" s="1"/>
      <c r="D820" s="1"/>
    </row>
    <row r="821" ht="15.75" customHeight="1">
      <c r="A821" s="1"/>
      <c r="B821" s="1"/>
      <c r="C821" s="1"/>
      <c r="D821" s="1"/>
    </row>
    <row r="822" ht="15.75" customHeight="1">
      <c r="A822" s="1"/>
      <c r="B822" s="1"/>
      <c r="C822" s="1"/>
      <c r="D822" s="1"/>
    </row>
    <row r="823" ht="15.75" customHeight="1">
      <c r="A823" s="1"/>
      <c r="B823" s="1"/>
      <c r="C823" s="1"/>
      <c r="D823" s="1"/>
    </row>
    <row r="824" ht="15.75" customHeight="1">
      <c r="A824" s="1"/>
      <c r="B824" s="1"/>
      <c r="C824" s="1"/>
      <c r="D824" s="1"/>
    </row>
    <row r="825" ht="15.75" customHeight="1">
      <c r="A825" s="1"/>
      <c r="B825" s="1"/>
      <c r="C825" s="1"/>
      <c r="D825" s="1"/>
    </row>
    <row r="826" ht="15.75" customHeight="1">
      <c r="A826" s="1"/>
      <c r="B826" s="1"/>
      <c r="C826" s="1"/>
      <c r="D826" s="1"/>
    </row>
    <row r="827" ht="15.75" customHeight="1">
      <c r="A827" s="1"/>
      <c r="B827" s="1"/>
      <c r="C827" s="1"/>
      <c r="D827" s="1"/>
    </row>
    <row r="828" ht="15.75" customHeight="1">
      <c r="A828" s="1"/>
      <c r="B828" s="1"/>
      <c r="C828" s="1"/>
      <c r="D828" s="1"/>
    </row>
    <row r="829" ht="15.75" customHeight="1">
      <c r="A829" s="1"/>
      <c r="B829" s="1"/>
      <c r="C829" s="1"/>
      <c r="D829" s="1"/>
    </row>
    <row r="830" ht="15.75" customHeight="1">
      <c r="A830" s="1"/>
      <c r="B830" s="1"/>
      <c r="C830" s="1"/>
      <c r="D830" s="1"/>
    </row>
    <row r="831" ht="15.75" customHeight="1">
      <c r="A831" s="1"/>
      <c r="B831" s="1"/>
      <c r="C831" s="1"/>
      <c r="D831" s="1"/>
    </row>
    <row r="832" ht="15.75" customHeight="1">
      <c r="A832" s="1"/>
      <c r="B832" s="1"/>
      <c r="C832" s="1"/>
      <c r="D832" s="1"/>
    </row>
    <row r="833" ht="15.75" customHeight="1">
      <c r="A833" s="1"/>
      <c r="B833" s="1"/>
      <c r="C833" s="1"/>
      <c r="D833" s="1"/>
    </row>
    <row r="834" ht="15.75" customHeight="1">
      <c r="A834" s="1"/>
      <c r="B834" s="1"/>
      <c r="C834" s="1"/>
      <c r="D834" s="1"/>
    </row>
    <row r="835" ht="15.75" customHeight="1">
      <c r="A835" s="1"/>
      <c r="B835" s="1"/>
      <c r="C835" s="1"/>
      <c r="D835" s="1"/>
    </row>
    <row r="836" ht="15.75" customHeight="1">
      <c r="A836" s="1"/>
      <c r="B836" s="1"/>
      <c r="C836" s="1"/>
      <c r="D836" s="1"/>
    </row>
    <row r="837" ht="15.75" customHeight="1">
      <c r="A837" s="1"/>
      <c r="B837" s="1"/>
      <c r="C837" s="1"/>
      <c r="D837" s="1"/>
    </row>
    <row r="838" ht="15.75" customHeight="1">
      <c r="A838" s="1"/>
      <c r="B838" s="1"/>
      <c r="C838" s="1"/>
      <c r="D838" s="1"/>
    </row>
    <row r="839" ht="15.75" customHeight="1">
      <c r="A839" s="1"/>
      <c r="B839" s="1"/>
      <c r="C839" s="1"/>
      <c r="D839" s="1"/>
    </row>
    <row r="840" ht="15.75" customHeight="1">
      <c r="A840" s="1"/>
      <c r="B840" s="1"/>
      <c r="C840" s="1"/>
      <c r="D840" s="1"/>
    </row>
    <row r="841" ht="15.75" customHeight="1">
      <c r="A841" s="1"/>
      <c r="B841" s="1"/>
      <c r="C841" s="1"/>
      <c r="D841" s="1"/>
    </row>
    <row r="842" ht="15.75" customHeight="1">
      <c r="A842" s="1"/>
      <c r="B842" s="1"/>
      <c r="C842" s="1"/>
      <c r="D842" s="1"/>
    </row>
    <row r="843" ht="15.75" customHeight="1">
      <c r="A843" s="1"/>
      <c r="B843" s="1"/>
      <c r="C843" s="1"/>
      <c r="D843" s="1"/>
    </row>
    <row r="844" ht="15.75" customHeight="1">
      <c r="A844" s="1"/>
      <c r="B844" s="1"/>
      <c r="C844" s="1"/>
      <c r="D844" s="1"/>
    </row>
    <row r="845" ht="15.75" customHeight="1">
      <c r="A845" s="1"/>
      <c r="B845" s="1"/>
      <c r="C845" s="1"/>
      <c r="D845" s="1"/>
    </row>
    <row r="846" ht="15.75" customHeight="1">
      <c r="A846" s="1"/>
      <c r="B846" s="1"/>
      <c r="C846" s="1"/>
      <c r="D846" s="1"/>
    </row>
    <row r="847" ht="15.75" customHeight="1">
      <c r="A847" s="1"/>
      <c r="B847" s="1"/>
      <c r="C847" s="1"/>
      <c r="D847" s="1"/>
    </row>
    <row r="848" ht="15.75" customHeight="1">
      <c r="A848" s="1"/>
      <c r="B848" s="1"/>
      <c r="C848" s="1"/>
      <c r="D848" s="1"/>
    </row>
    <row r="849" ht="15.75" customHeight="1">
      <c r="A849" s="1"/>
      <c r="B849" s="1"/>
      <c r="C849" s="1"/>
      <c r="D849" s="1"/>
    </row>
    <row r="850" ht="15.75" customHeight="1">
      <c r="A850" s="1"/>
      <c r="B850" s="1"/>
      <c r="C850" s="1"/>
      <c r="D850" s="1"/>
    </row>
    <row r="851" ht="15.75" customHeight="1">
      <c r="A851" s="1"/>
      <c r="B851" s="1"/>
      <c r="C851" s="1"/>
      <c r="D851" s="1"/>
    </row>
    <row r="852" ht="15.75" customHeight="1">
      <c r="A852" s="1"/>
      <c r="B852" s="1"/>
      <c r="C852" s="1"/>
      <c r="D852" s="1"/>
    </row>
    <row r="853" ht="15.75" customHeight="1">
      <c r="A853" s="1"/>
      <c r="B853" s="1"/>
      <c r="C853" s="1"/>
      <c r="D853" s="1"/>
    </row>
    <row r="854" ht="15.75" customHeight="1">
      <c r="A854" s="1"/>
      <c r="B854" s="1"/>
      <c r="C854" s="1"/>
      <c r="D854" s="1"/>
    </row>
    <row r="855" ht="15.75" customHeight="1">
      <c r="A855" s="1"/>
      <c r="B855" s="1"/>
      <c r="C855" s="1"/>
      <c r="D855" s="1"/>
    </row>
    <row r="856" ht="15.75" customHeight="1">
      <c r="A856" s="1"/>
      <c r="B856" s="1"/>
      <c r="C856" s="1"/>
      <c r="D856" s="1"/>
    </row>
    <row r="857" ht="15.75" customHeight="1">
      <c r="A857" s="1"/>
      <c r="B857" s="1"/>
      <c r="C857" s="1"/>
      <c r="D857" s="1"/>
    </row>
    <row r="858" ht="15.75" customHeight="1">
      <c r="A858" s="1"/>
      <c r="B858" s="1"/>
      <c r="C858" s="1"/>
      <c r="D858" s="1"/>
    </row>
    <row r="859" ht="15.75" customHeight="1">
      <c r="A859" s="1"/>
      <c r="B859" s="1"/>
      <c r="C859" s="1"/>
      <c r="D859" s="1"/>
    </row>
    <row r="860" ht="15.75" customHeight="1">
      <c r="A860" s="1"/>
      <c r="B860" s="1"/>
      <c r="C860" s="1"/>
      <c r="D860" s="1"/>
    </row>
    <row r="861" ht="15.75" customHeight="1">
      <c r="A861" s="1"/>
      <c r="B861" s="1"/>
      <c r="C861" s="1"/>
      <c r="D861" s="1"/>
    </row>
    <row r="862" ht="15.75" customHeight="1">
      <c r="A862" s="1"/>
      <c r="B862" s="1"/>
      <c r="C862" s="1"/>
      <c r="D862" s="1"/>
    </row>
    <row r="863" ht="15.75" customHeight="1">
      <c r="A863" s="1"/>
      <c r="B863" s="1"/>
      <c r="C863" s="1"/>
      <c r="D863" s="1"/>
    </row>
    <row r="864" ht="15.75" customHeight="1">
      <c r="A864" s="1"/>
      <c r="B864" s="1"/>
      <c r="C864" s="1"/>
      <c r="D864" s="1"/>
    </row>
    <row r="865" ht="15.75" customHeight="1">
      <c r="A865" s="1"/>
      <c r="B865" s="1"/>
      <c r="C865" s="1"/>
      <c r="D865" s="1"/>
    </row>
    <row r="866" ht="15.75" customHeight="1">
      <c r="A866" s="1"/>
      <c r="B866" s="1"/>
      <c r="C866" s="1"/>
      <c r="D866" s="1"/>
    </row>
    <row r="867" ht="15.75" customHeight="1">
      <c r="A867" s="1"/>
      <c r="B867" s="1"/>
      <c r="C867" s="1"/>
      <c r="D867" s="1"/>
    </row>
    <row r="868" ht="15.75" customHeight="1">
      <c r="A868" s="1"/>
      <c r="B868" s="1"/>
      <c r="C868" s="1"/>
      <c r="D868" s="1"/>
    </row>
    <row r="869" ht="15.75" customHeight="1">
      <c r="A869" s="1"/>
      <c r="B869" s="1"/>
      <c r="C869" s="1"/>
      <c r="D869" s="1"/>
    </row>
    <row r="870" ht="15.75" customHeight="1">
      <c r="A870" s="1"/>
      <c r="B870" s="1"/>
      <c r="C870" s="1"/>
      <c r="D870" s="1"/>
    </row>
    <row r="871" ht="15.75" customHeight="1">
      <c r="A871" s="1"/>
      <c r="B871" s="1"/>
      <c r="C871" s="1"/>
      <c r="D871" s="1"/>
    </row>
    <row r="872" ht="15.75" customHeight="1">
      <c r="A872" s="1"/>
      <c r="B872" s="1"/>
      <c r="C872" s="1"/>
      <c r="D872" s="1"/>
    </row>
    <row r="873" ht="15.75" customHeight="1">
      <c r="A873" s="1"/>
      <c r="B873" s="1"/>
      <c r="C873" s="1"/>
      <c r="D873" s="1"/>
    </row>
    <row r="874" ht="15.75" customHeight="1">
      <c r="A874" s="1"/>
      <c r="B874" s="1"/>
      <c r="C874" s="1"/>
      <c r="D874" s="1"/>
    </row>
    <row r="875" ht="15.75" customHeight="1">
      <c r="A875" s="1"/>
      <c r="B875" s="1"/>
      <c r="C875" s="1"/>
      <c r="D875" s="1"/>
    </row>
    <row r="876" ht="15.75" customHeight="1">
      <c r="A876" s="1"/>
      <c r="B876" s="1"/>
      <c r="C876" s="1"/>
      <c r="D876" s="1"/>
    </row>
    <row r="877" ht="15.75" customHeight="1">
      <c r="A877" s="1"/>
      <c r="B877" s="1"/>
      <c r="C877" s="1"/>
      <c r="D877" s="1"/>
    </row>
    <row r="878" ht="15.75" customHeight="1">
      <c r="A878" s="1"/>
      <c r="B878" s="1"/>
      <c r="C878" s="1"/>
      <c r="D878" s="1"/>
    </row>
    <row r="879" ht="15.75" customHeight="1">
      <c r="A879" s="1"/>
      <c r="B879" s="1"/>
      <c r="C879" s="1"/>
      <c r="D879" s="1"/>
    </row>
    <row r="880" ht="15.75" customHeight="1">
      <c r="A880" s="1"/>
      <c r="B880" s="1"/>
      <c r="C880" s="1"/>
      <c r="D880" s="1"/>
    </row>
    <row r="881" ht="15.75" customHeight="1">
      <c r="A881" s="1"/>
      <c r="B881" s="1"/>
      <c r="C881" s="1"/>
      <c r="D881" s="1"/>
    </row>
    <row r="882" ht="15.75" customHeight="1">
      <c r="A882" s="1"/>
      <c r="B882" s="1"/>
      <c r="C882" s="1"/>
      <c r="D882" s="1"/>
    </row>
    <row r="883" ht="15.75" customHeight="1">
      <c r="A883" s="1"/>
      <c r="B883" s="1"/>
      <c r="C883" s="1"/>
      <c r="D883" s="1"/>
    </row>
    <row r="884" ht="15.75" customHeight="1">
      <c r="A884" s="1"/>
      <c r="B884" s="1"/>
      <c r="C884" s="1"/>
      <c r="D884" s="1"/>
    </row>
    <row r="885" ht="15.75" customHeight="1">
      <c r="A885" s="1"/>
      <c r="B885" s="1"/>
      <c r="C885" s="1"/>
      <c r="D885" s="1"/>
    </row>
    <row r="886" ht="15.75" customHeight="1">
      <c r="A886" s="1"/>
      <c r="B886" s="1"/>
      <c r="C886" s="1"/>
      <c r="D886" s="1"/>
    </row>
    <row r="887" ht="15.75" customHeight="1">
      <c r="A887" s="1"/>
      <c r="B887" s="1"/>
      <c r="C887" s="1"/>
      <c r="D887" s="1"/>
    </row>
    <row r="888" ht="15.75" customHeight="1">
      <c r="A888" s="1"/>
      <c r="B888" s="1"/>
      <c r="C888" s="1"/>
      <c r="D888" s="1"/>
    </row>
    <row r="889" ht="15.75" customHeight="1">
      <c r="A889" s="1"/>
      <c r="B889" s="1"/>
      <c r="C889" s="1"/>
      <c r="D889" s="1"/>
    </row>
    <row r="890" ht="15.75" customHeight="1">
      <c r="A890" s="1"/>
      <c r="B890" s="1"/>
      <c r="C890" s="1"/>
      <c r="D890" s="1"/>
    </row>
    <row r="891" ht="15.75" customHeight="1">
      <c r="A891" s="1"/>
      <c r="B891" s="1"/>
      <c r="C891" s="1"/>
      <c r="D891" s="1"/>
    </row>
    <row r="892" ht="15.75" customHeight="1">
      <c r="A892" s="1"/>
      <c r="B892" s="1"/>
      <c r="C892" s="1"/>
      <c r="D892" s="1"/>
    </row>
    <row r="893" ht="15.75" customHeight="1">
      <c r="A893" s="1"/>
      <c r="B893" s="1"/>
      <c r="C893" s="1"/>
      <c r="D893" s="1"/>
    </row>
    <row r="894" ht="15.75" customHeight="1">
      <c r="A894" s="1"/>
      <c r="B894" s="1"/>
      <c r="C894" s="1"/>
      <c r="D894" s="1"/>
    </row>
    <row r="895" ht="15.75" customHeight="1">
      <c r="A895" s="1"/>
      <c r="B895" s="1"/>
      <c r="C895" s="1"/>
      <c r="D895" s="1"/>
    </row>
    <row r="896" ht="15.75" customHeight="1">
      <c r="A896" s="1"/>
      <c r="B896" s="1"/>
      <c r="C896" s="1"/>
      <c r="D896" s="1"/>
    </row>
    <row r="897" ht="15.75" customHeight="1">
      <c r="A897" s="1"/>
      <c r="B897" s="1"/>
      <c r="C897" s="1"/>
      <c r="D897" s="1"/>
    </row>
    <row r="898" ht="15.75" customHeight="1">
      <c r="A898" s="1"/>
      <c r="B898" s="1"/>
      <c r="C898" s="1"/>
      <c r="D898" s="1"/>
    </row>
    <row r="899" ht="15.75" customHeight="1">
      <c r="A899" s="1"/>
      <c r="B899" s="1"/>
      <c r="C899" s="1"/>
      <c r="D899" s="1"/>
    </row>
    <row r="900" ht="15.75" customHeight="1">
      <c r="A900" s="1"/>
      <c r="B900" s="1"/>
      <c r="C900" s="1"/>
      <c r="D900" s="1"/>
    </row>
    <row r="901" ht="15.75" customHeight="1">
      <c r="A901" s="1"/>
      <c r="B901" s="1"/>
      <c r="C901" s="1"/>
      <c r="D901" s="1"/>
    </row>
    <row r="902" ht="15.75" customHeight="1">
      <c r="A902" s="1"/>
      <c r="B902" s="1"/>
      <c r="C902" s="1"/>
      <c r="D902" s="1"/>
    </row>
    <row r="903" ht="15.75" customHeight="1">
      <c r="A903" s="1"/>
      <c r="B903" s="1"/>
      <c r="C903" s="1"/>
      <c r="D903" s="1"/>
    </row>
    <row r="904" ht="15.75" customHeight="1">
      <c r="A904" s="1"/>
      <c r="B904" s="1"/>
      <c r="C904" s="1"/>
      <c r="D904" s="1"/>
    </row>
    <row r="905" ht="15.75" customHeight="1">
      <c r="A905" s="1"/>
      <c r="B905" s="1"/>
      <c r="C905" s="1"/>
      <c r="D905" s="1"/>
    </row>
    <row r="906" ht="15.75" customHeight="1">
      <c r="A906" s="1"/>
      <c r="B906" s="1"/>
      <c r="C906" s="1"/>
      <c r="D906" s="1"/>
    </row>
    <row r="907" ht="15.75" customHeight="1">
      <c r="A907" s="1"/>
      <c r="B907" s="1"/>
      <c r="C907" s="1"/>
      <c r="D907" s="1"/>
    </row>
    <row r="908" ht="15.75" customHeight="1">
      <c r="A908" s="1"/>
      <c r="B908" s="1"/>
      <c r="C908" s="1"/>
      <c r="D908" s="1"/>
    </row>
    <row r="909" ht="15.75" customHeight="1">
      <c r="A909" s="1"/>
      <c r="B909" s="1"/>
      <c r="C909" s="1"/>
      <c r="D909" s="1"/>
    </row>
    <row r="910" ht="15.75" customHeight="1">
      <c r="A910" s="1"/>
      <c r="B910" s="1"/>
      <c r="C910" s="1"/>
      <c r="D910" s="1"/>
    </row>
    <row r="911" ht="15.75" customHeight="1">
      <c r="A911" s="1"/>
      <c r="B911" s="1"/>
      <c r="C911" s="1"/>
      <c r="D911" s="1"/>
    </row>
    <row r="912" ht="15.75" customHeight="1">
      <c r="A912" s="1"/>
      <c r="B912" s="1"/>
      <c r="C912" s="1"/>
      <c r="D912" s="1"/>
    </row>
    <row r="913" ht="15.75" customHeight="1">
      <c r="A913" s="1"/>
      <c r="B913" s="1"/>
      <c r="C913" s="1"/>
      <c r="D913" s="1"/>
    </row>
    <row r="914" ht="15.75" customHeight="1">
      <c r="A914" s="1"/>
      <c r="B914" s="1"/>
      <c r="C914" s="1"/>
      <c r="D914" s="1"/>
    </row>
    <row r="915" ht="15.75" customHeight="1">
      <c r="A915" s="1"/>
      <c r="B915" s="1"/>
      <c r="C915" s="1"/>
      <c r="D915" s="1"/>
    </row>
    <row r="916" ht="15.75" customHeight="1">
      <c r="A916" s="1"/>
      <c r="B916" s="1"/>
      <c r="C916" s="1"/>
      <c r="D916" s="1"/>
    </row>
    <row r="917" ht="15.75" customHeight="1">
      <c r="A917" s="1"/>
      <c r="B917" s="1"/>
      <c r="C917" s="1"/>
      <c r="D917" s="1"/>
    </row>
    <row r="918" ht="15.75" customHeight="1">
      <c r="A918" s="1"/>
      <c r="B918" s="1"/>
      <c r="C918" s="1"/>
      <c r="D918" s="1"/>
    </row>
    <row r="919" ht="15.75" customHeight="1">
      <c r="A919" s="1"/>
      <c r="B919" s="1"/>
      <c r="C919" s="1"/>
      <c r="D919" s="1"/>
    </row>
    <row r="920" ht="15.75" customHeight="1">
      <c r="A920" s="1"/>
      <c r="B920" s="1"/>
      <c r="C920" s="1"/>
      <c r="D920" s="1"/>
    </row>
    <row r="921" ht="15.75" customHeight="1">
      <c r="A921" s="1"/>
      <c r="B921" s="1"/>
      <c r="C921" s="1"/>
      <c r="D921" s="1"/>
    </row>
    <row r="922" ht="15.75" customHeight="1">
      <c r="A922" s="1"/>
      <c r="B922" s="1"/>
      <c r="C922" s="1"/>
      <c r="D922" s="1"/>
    </row>
    <row r="923" ht="15.75" customHeight="1">
      <c r="A923" s="1"/>
      <c r="B923" s="1"/>
      <c r="C923" s="1"/>
      <c r="D923" s="1"/>
    </row>
    <row r="924" ht="15.75" customHeight="1">
      <c r="A924" s="1"/>
      <c r="B924" s="1"/>
      <c r="C924" s="1"/>
      <c r="D924" s="1"/>
    </row>
    <row r="925" ht="15.75" customHeight="1">
      <c r="A925" s="1"/>
      <c r="B925" s="1"/>
      <c r="C925" s="1"/>
      <c r="D925" s="1"/>
    </row>
    <row r="926" ht="15.75" customHeight="1">
      <c r="A926" s="1"/>
      <c r="B926" s="1"/>
      <c r="C926" s="1"/>
      <c r="D926" s="1"/>
    </row>
    <row r="927" ht="15.75" customHeight="1">
      <c r="A927" s="1"/>
      <c r="B927" s="1"/>
      <c r="C927" s="1"/>
      <c r="D927" s="1"/>
    </row>
    <row r="928" ht="15.75" customHeight="1">
      <c r="A928" s="1"/>
      <c r="B928" s="1"/>
      <c r="C928" s="1"/>
      <c r="D928" s="1"/>
    </row>
    <row r="929" ht="15.75" customHeight="1">
      <c r="A929" s="1"/>
      <c r="B929" s="1"/>
      <c r="C929" s="1"/>
      <c r="D929" s="1"/>
    </row>
    <row r="930" ht="15.75" customHeight="1">
      <c r="A930" s="1"/>
      <c r="B930" s="1"/>
      <c r="C930" s="1"/>
      <c r="D930" s="1"/>
    </row>
    <row r="931" ht="15.75" customHeight="1">
      <c r="A931" s="1"/>
      <c r="B931" s="1"/>
      <c r="C931" s="1"/>
      <c r="D931" s="1"/>
    </row>
    <row r="932" ht="15.75" customHeight="1">
      <c r="A932" s="1"/>
      <c r="B932" s="1"/>
      <c r="C932" s="1"/>
      <c r="D932" s="1"/>
    </row>
    <row r="933" ht="15.75" customHeight="1">
      <c r="A933" s="1"/>
      <c r="B933" s="1"/>
      <c r="C933" s="1"/>
      <c r="D933" s="1"/>
    </row>
    <row r="934" ht="15.75" customHeight="1">
      <c r="A934" s="1"/>
      <c r="B934" s="1"/>
      <c r="C934" s="1"/>
      <c r="D934" s="1"/>
    </row>
    <row r="935" ht="15.75" customHeight="1">
      <c r="A935" s="1"/>
      <c r="B935" s="1"/>
      <c r="C935" s="1"/>
      <c r="D935" s="1"/>
    </row>
    <row r="936" ht="15.75" customHeight="1">
      <c r="A936" s="1"/>
      <c r="B936" s="1"/>
      <c r="C936" s="1"/>
      <c r="D936" s="1"/>
    </row>
    <row r="937" ht="15.75" customHeight="1">
      <c r="A937" s="1"/>
      <c r="B937" s="1"/>
      <c r="C937" s="1"/>
      <c r="D937" s="1"/>
    </row>
    <row r="938" ht="15.75" customHeight="1">
      <c r="A938" s="1"/>
      <c r="B938" s="1"/>
      <c r="C938" s="1"/>
      <c r="D938" s="1"/>
    </row>
    <row r="939" ht="15.75" customHeight="1">
      <c r="A939" s="1"/>
      <c r="B939" s="1"/>
      <c r="C939" s="1"/>
      <c r="D939" s="1"/>
    </row>
    <row r="940" ht="15.75" customHeight="1">
      <c r="A940" s="1"/>
      <c r="B940" s="1"/>
      <c r="C940" s="1"/>
      <c r="D940" s="1"/>
    </row>
    <row r="941" ht="15.75" customHeight="1">
      <c r="A941" s="1"/>
      <c r="B941" s="1"/>
      <c r="C941" s="1"/>
      <c r="D941" s="1"/>
    </row>
    <row r="942" ht="15.75" customHeight="1">
      <c r="A942" s="1"/>
      <c r="B942" s="1"/>
      <c r="C942" s="1"/>
      <c r="D942" s="1"/>
    </row>
    <row r="943" ht="15.75" customHeight="1">
      <c r="A943" s="1"/>
      <c r="B943" s="1"/>
      <c r="C943" s="1"/>
      <c r="D943" s="1"/>
    </row>
    <row r="944" ht="15.75" customHeight="1">
      <c r="A944" s="1"/>
      <c r="B944" s="1"/>
      <c r="C944" s="1"/>
      <c r="D944" s="1"/>
    </row>
    <row r="945" ht="15.75" customHeight="1">
      <c r="A945" s="1"/>
      <c r="B945" s="1"/>
      <c r="C945" s="1"/>
      <c r="D945" s="1"/>
    </row>
    <row r="946" ht="15.75" customHeight="1">
      <c r="A946" s="1"/>
      <c r="B946" s="1"/>
      <c r="C946" s="1"/>
      <c r="D946" s="1"/>
    </row>
    <row r="947" ht="15.75" customHeight="1">
      <c r="A947" s="1"/>
      <c r="B947" s="1"/>
      <c r="C947" s="1"/>
      <c r="D947" s="1"/>
    </row>
    <row r="948" ht="15.75" customHeight="1">
      <c r="A948" s="1"/>
      <c r="B948" s="1"/>
      <c r="C948" s="1"/>
      <c r="D948" s="1"/>
    </row>
    <row r="949" ht="15.75" customHeight="1">
      <c r="A949" s="1"/>
      <c r="B949" s="1"/>
      <c r="C949" s="1"/>
      <c r="D949" s="1"/>
    </row>
    <row r="950" ht="15.75" customHeight="1">
      <c r="A950" s="1"/>
      <c r="B950" s="1"/>
      <c r="C950" s="1"/>
      <c r="D950" s="1"/>
    </row>
    <row r="951" ht="15.75" customHeight="1">
      <c r="A951" s="1"/>
      <c r="B951" s="1"/>
      <c r="C951" s="1"/>
      <c r="D951" s="1"/>
    </row>
    <row r="952" ht="15.75" customHeight="1">
      <c r="A952" s="1"/>
      <c r="B952" s="1"/>
      <c r="C952" s="1"/>
      <c r="D952" s="1"/>
    </row>
    <row r="953" ht="15.75" customHeight="1">
      <c r="A953" s="1"/>
      <c r="B953" s="1"/>
      <c r="C953" s="1"/>
      <c r="D953" s="1"/>
    </row>
    <row r="954" ht="15.75" customHeight="1">
      <c r="A954" s="1"/>
      <c r="B954" s="1"/>
      <c r="C954" s="1"/>
      <c r="D954" s="1"/>
    </row>
    <row r="955" ht="15.75" customHeight="1">
      <c r="A955" s="1"/>
      <c r="B955" s="1"/>
      <c r="C955" s="1"/>
      <c r="D955" s="1"/>
    </row>
    <row r="956" ht="15.75" customHeight="1">
      <c r="A956" s="1"/>
      <c r="B956" s="1"/>
      <c r="C956" s="1"/>
      <c r="D956" s="1"/>
    </row>
    <row r="957" ht="15.75" customHeight="1">
      <c r="A957" s="1"/>
      <c r="B957" s="1"/>
      <c r="C957" s="1"/>
      <c r="D957" s="1"/>
    </row>
    <row r="958" ht="15.75" customHeight="1">
      <c r="A958" s="1"/>
      <c r="B958" s="1"/>
      <c r="C958" s="1"/>
      <c r="D958" s="1"/>
    </row>
    <row r="959" ht="15.75" customHeight="1">
      <c r="A959" s="1"/>
      <c r="B959" s="1"/>
      <c r="C959" s="1"/>
      <c r="D959" s="1"/>
    </row>
    <row r="960" ht="15.75" customHeight="1">
      <c r="A960" s="1"/>
      <c r="B960" s="1"/>
      <c r="C960" s="1"/>
      <c r="D960" s="1"/>
    </row>
    <row r="961" ht="15.75" customHeight="1">
      <c r="A961" s="1"/>
      <c r="B961" s="1"/>
      <c r="C961" s="1"/>
      <c r="D961" s="1"/>
    </row>
    <row r="962" ht="15.75" customHeight="1">
      <c r="A962" s="1"/>
      <c r="B962" s="1"/>
      <c r="C962" s="1"/>
      <c r="D962" s="1"/>
    </row>
    <row r="963" ht="15.75" customHeight="1">
      <c r="A963" s="1"/>
      <c r="B963" s="1"/>
      <c r="C963" s="1"/>
      <c r="D963" s="1"/>
    </row>
    <row r="964" ht="15.75" customHeight="1">
      <c r="A964" s="1"/>
      <c r="B964" s="1"/>
      <c r="C964" s="1"/>
      <c r="D964" s="1"/>
    </row>
    <row r="965" ht="15.75" customHeight="1">
      <c r="A965" s="1"/>
      <c r="B965" s="1"/>
      <c r="C965" s="1"/>
      <c r="D965" s="1"/>
    </row>
    <row r="966" ht="15.75" customHeight="1">
      <c r="A966" s="1"/>
      <c r="B966" s="1"/>
      <c r="C966" s="1"/>
      <c r="D966" s="1"/>
    </row>
    <row r="967" ht="15.75" customHeight="1">
      <c r="A967" s="1"/>
      <c r="B967" s="1"/>
      <c r="C967" s="1"/>
      <c r="D967" s="1"/>
    </row>
    <row r="968" ht="15.75" customHeight="1">
      <c r="A968" s="1"/>
      <c r="B968" s="1"/>
      <c r="C968" s="1"/>
      <c r="D968" s="1"/>
    </row>
    <row r="969" ht="15.75" customHeight="1">
      <c r="A969" s="1"/>
      <c r="B969" s="1"/>
      <c r="C969" s="1"/>
      <c r="D969" s="1"/>
    </row>
    <row r="970" ht="15.75" customHeight="1">
      <c r="A970" s="1"/>
      <c r="B970" s="1"/>
      <c r="C970" s="1"/>
      <c r="D970" s="1"/>
    </row>
    <row r="971" ht="15.75" customHeight="1">
      <c r="A971" s="1"/>
      <c r="B971" s="1"/>
      <c r="C971" s="1"/>
      <c r="D971" s="1"/>
    </row>
    <row r="972" ht="15.75" customHeight="1">
      <c r="A972" s="1"/>
      <c r="B972" s="1"/>
      <c r="C972" s="1"/>
      <c r="D972" s="1"/>
    </row>
    <row r="973" ht="15.75" customHeight="1">
      <c r="A973" s="1"/>
      <c r="B973" s="1"/>
      <c r="C973" s="1"/>
      <c r="D973" s="1"/>
    </row>
    <row r="974" ht="15.75" customHeight="1">
      <c r="A974" s="1"/>
      <c r="B974" s="1"/>
      <c r="C974" s="1"/>
      <c r="D974" s="1"/>
    </row>
    <row r="975" ht="15.75" customHeight="1">
      <c r="A975" s="1"/>
      <c r="B975" s="1"/>
      <c r="C975" s="1"/>
      <c r="D975" s="1"/>
    </row>
    <row r="976" ht="15.75" customHeight="1">
      <c r="A976" s="1"/>
      <c r="B976" s="1"/>
      <c r="C976" s="1"/>
      <c r="D976" s="1"/>
    </row>
    <row r="977" ht="15.75" customHeight="1">
      <c r="A977" s="1"/>
      <c r="B977" s="1"/>
      <c r="C977" s="1"/>
      <c r="D977" s="1"/>
    </row>
    <row r="978" ht="15.75" customHeight="1">
      <c r="A978" s="1"/>
      <c r="B978" s="1"/>
      <c r="C978" s="1"/>
      <c r="D978" s="1"/>
    </row>
    <row r="979" ht="15.75" customHeight="1">
      <c r="A979" s="1"/>
      <c r="B979" s="1"/>
      <c r="C979" s="1"/>
      <c r="D979" s="1"/>
    </row>
    <row r="980" ht="15.75" customHeight="1">
      <c r="A980" s="1"/>
      <c r="B980" s="1"/>
      <c r="C980" s="1"/>
      <c r="D980" s="1"/>
    </row>
    <row r="981" ht="15.75" customHeight="1">
      <c r="A981" s="1"/>
      <c r="B981" s="1"/>
      <c r="C981" s="1"/>
      <c r="D981" s="1"/>
    </row>
    <row r="982" ht="15.75" customHeight="1">
      <c r="A982" s="1"/>
      <c r="B982" s="1"/>
      <c r="C982" s="1"/>
      <c r="D982" s="1"/>
    </row>
    <row r="983" ht="15.75" customHeight="1">
      <c r="A983" s="1"/>
      <c r="B983" s="1"/>
      <c r="C983" s="1"/>
      <c r="D983" s="1"/>
    </row>
    <row r="984" ht="15.75" customHeight="1">
      <c r="A984" s="1"/>
      <c r="B984" s="1"/>
      <c r="C984" s="1"/>
      <c r="D984" s="1"/>
    </row>
    <row r="985" ht="15.75" customHeight="1">
      <c r="A985" s="1"/>
      <c r="B985" s="1"/>
      <c r="C985" s="1"/>
      <c r="D985" s="1"/>
    </row>
    <row r="986" ht="15.75" customHeight="1">
      <c r="A986" s="1"/>
      <c r="B986" s="1"/>
      <c r="C986" s="1"/>
      <c r="D986" s="1"/>
    </row>
    <row r="987" ht="15.75" customHeight="1">
      <c r="A987" s="1"/>
      <c r="B987" s="1"/>
      <c r="C987" s="1"/>
      <c r="D987" s="1"/>
    </row>
    <row r="988" ht="15.75" customHeight="1">
      <c r="A988" s="1"/>
      <c r="B988" s="1"/>
      <c r="C988" s="1"/>
      <c r="D988" s="1"/>
    </row>
    <row r="989" ht="15.75" customHeight="1">
      <c r="A989" s="1"/>
      <c r="B989" s="1"/>
      <c r="C989" s="1"/>
      <c r="D989" s="1"/>
    </row>
    <row r="990" ht="15.75" customHeight="1">
      <c r="A990" s="1"/>
      <c r="B990" s="1"/>
      <c r="C990" s="1"/>
      <c r="D990" s="1"/>
    </row>
    <row r="991" ht="15.75" customHeight="1">
      <c r="A991" s="1"/>
      <c r="B991" s="1"/>
      <c r="C991" s="1"/>
      <c r="D991" s="1"/>
    </row>
    <row r="992" ht="15.75" customHeight="1">
      <c r="A992" s="1"/>
      <c r="B992" s="1"/>
      <c r="C992" s="1"/>
      <c r="D992" s="1"/>
    </row>
    <row r="993" ht="15.75" customHeight="1">
      <c r="A993" s="1"/>
      <c r="B993" s="1"/>
      <c r="C993" s="1"/>
      <c r="D993" s="1"/>
    </row>
    <row r="994" ht="15.75" customHeight="1">
      <c r="A994" s="1"/>
      <c r="B994" s="1"/>
      <c r="C994" s="1"/>
      <c r="D994" s="1"/>
    </row>
    <row r="995" ht="15.75" customHeight="1">
      <c r="A995" s="1"/>
      <c r="B995" s="1"/>
      <c r="C995" s="1"/>
      <c r="D995" s="1"/>
    </row>
    <row r="996" ht="15.75" customHeight="1">
      <c r="A996" s="1"/>
      <c r="B996" s="1"/>
      <c r="C996" s="1"/>
      <c r="D996" s="1"/>
    </row>
    <row r="997" ht="15.75" customHeight="1">
      <c r="A997" s="1"/>
      <c r="B997" s="1"/>
      <c r="C997" s="1"/>
      <c r="D997" s="1"/>
    </row>
    <row r="998" ht="15.75" customHeight="1">
      <c r="A998" s="1"/>
      <c r="B998" s="1"/>
      <c r="C998" s="1"/>
      <c r="D998" s="1"/>
    </row>
    <row r="999" ht="15.75" customHeight="1">
      <c r="A999" s="1"/>
      <c r="B999" s="1"/>
      <c r="C999" s="1"/>
      <c r="D999" s="1"/>
    </row>
    <row r="1000" ht="15.75" customHeight="1">
      <c r="A1000" s="1"/>
      <c r="B1000" s="1"/>
      <c r="C1000" s="1"/>
      <c r="D1000" s="1"/>
    </row>
    <row r="1001" ht="15.75" customHeight="1">
      <c r="A1001" s="1"/>
      <c r="B1001" s="1"/>
      <c r="C1001" s="1"/>
      <c r="D1001" s="1"/>
    </row>
    <row r="1002" ht="15.75" customHeight="1">
      <c r="A1002" s="1"/>
      <c r="B1002" s="1"/>
      <c r="C1002" s="1"/>
      <c r="D1002" s="1"/>
    </row>
  </sheetData>
  <mergeCells count="113">
    <mergeCell ref="B3:C3"/>
    <mergeCell ref="B4:C4"/>
    <mergeCell ref="B6:C6"/>
    <mergeCell ref="B7:C7"/>
    <mergeCell ref="B16:C16"/>
    <mergeCell ref="B17:C17"/>
    <mergeCell ref="B19:C19"/>
    <mergeCell ref="B2:C2"/>
    <mergeCell ref="B28:C28"/>
    <mergeCell ref="B29:C29"/>
    <mergeCell ref="B38:C38"/>
    <mergeCell ref="B39:C39"/>
    <mergeCell ref="B41:C41"/>
    <mergeCell ref="B50:C50"/>
    <mergeCell ref="B51:C51"/>
    <mergeCell ref="B60:C60"/>
    <mergeCell ref="B61:C61"/>
    <mergeCell ref="B70:C70"/>
    <mergeCell ref="B71:C71"/>
    <mergeCell ref="B80:C80"/>
    <mergeCell ref="B81:C81"/>
    <mergeCell ref="B83:C83"/>
    <mergeCell ref="B92:C92"/>
    <mergeCell ref="B93:C93"/>
    <mergeCell ref="B95:C95"/>
    <mergeCell ref="B104:C104"/>
    <mergeCell ref="B105:C105"/>
    <mergeCell ref="B114:C114"/>
    <mergeCell ref="B115:C115"/>
    <mergeCell ref="B124:C124"/>
    <mergeCell ref="B125:C125"/>
    <mergeCell ref="B134:C134"/>
    <mergeCell ref="B135:C135"/>
    <mergeCell ref="B137:C137"/>
    <mergeCell ref="B146:C146"/>
    <mergeCell ref="B147:C147"/>
    <mergeCell ref="B149:C149"/>
    <mergeCell ref="B158:C158"/>
    <mergeCell ref="B159:C159"/>
    <mergeCell ref="B168:C168"/>
    <mergeCell ref="B169:C169"/>
    <mergeCell ref="B178:C178"/>
    <mergeCell ref="B179:C179"/>
    <mergeCell ref="B181:C181"/>
    <mergeCell ref="B190:C190"/>
    <mergeCell ref="B191:C191"/>
    <mergeCell ref="B193:C193"/>
    <mergeCell ref="B202:C202"/>
    <mergeCell ref="B203:C203"/>
    <mergeCell ref="B212:C212"/>
    <mergeCell ref="B487:C487"/>
    <mergeCell ref="B496:C496"/>
    <mergeCell ref="B497:C497"/>
    <mergeCell ref="B506:C506"/>
    <mergeCell ref="B507:C507"/>
    <mergeCell ref="B516:C516"/>
    <mergeCell ref="B517:C517"/>
    <mergeCell ref="B456:C456"/>
    <mergeCell ref="B457:C457"/>
    <mergeCell ref="B466:C466"/>
    <mergeCell ref="B467:C467"/>
    <mergeCell ref="B476:C476"/>
    <mergeCell ref="B477:C477"/>
    <mergeCell ref="B486:C486"/>
    <mergeCell ref="B213:C213"/>
    <mergeCell ref="B215:C215"/>
    <mergeCell ref="B224:C224"/>
    <mergeCell ref="B225:C225"/>
    <mergeCell ref="B234:C234"/>
    <mergeCell ref="B235:C235"/>
    <mergeCell ref="B244:C244"/>
    <mergeCell ref="B245:C245"/>
    <mergeCell ref="B247:C247"/>
    <mergeCell ref="B256:C256"/>
    <mergeCell ref="B257:C257"/>
    <mergeCell ref="B266:C266"/>
    <mergeCell ref="B267:C267"/>
    <mergeCell ref="B276:C276"/>
    <mergeCell ref="B277:C277"/>
    <mergeCell ref="B286:C286"/>
    <mergeCell ref="B287:C287"/>
    <mergeCell ref="B296:C296"/>
    <mergeCell ref="B297:C297"/>
    <mergeCell ref="B306:C306"/>
    <mergeCell ref="B307:C307"/>
    <mergeCell ref="B316:C316"/>
    <mergeCell ref="B317:C317"/>
    <mergeCell ref="B326:C326"/>
    <mergeCell ref="B327:C327"/>
    <mergeCell ref="B336:C336"/>
    <mergeCell ref="B337:C337"/>
    <mergeCell ref="B346:C346"/>
    <mergeCell ref="B347:C347"/>
    <mergeCell ref="B356:C356"/>
    <mergeCell ref="B357:C357"/>
    <mergeCell ref="B366:C366"/>
    <mergeCell ref="B367:C367"/>
    <mergeCell ref="B376:C376"/>
    <mergeCell ref="B377:C377"/>
    <mergeCell ref="B386:C386"/>
    <mergeCell ref="B387:C387"/>
    <mergeCell ref="B396:C396"/>
    <mergeCell ref="B397:C397"/>
    <mergeCell ref="B406:C406"/>
    <mergeCell ref="B407:C407"/>
    <mergeCell ref="B416:C416"/>
    <mergeCell ref="B417:C417"/>
    <mergeCell ref="B426:C426"/>
    <mergeCell ref="B427:C427"/>
    <mergeCell ref="B436:C436"/>
    <mergeCell ref="B437:C437"/>
    <mergeCell ref="B446:C446"/>
    <mergeCell ref="B447:C447"/>
  </mergeCells>
  <conditionalFormatting sqref="C13">
    <cfRule type="expression" dxfId="0" priority="1">
      <formula>C12="D"</formula>
    </cfRule>
  </conditionalFormatting>
  <conditionalFormatting sqref="C13">
    <cfRule type="expression" dxfId="1" priority="2">
      <formula>AND(C12&lt;&gt;"",C12&lt;&gt;"D")</formula>
    </cfRule>
  </conditionalFormatting>
  <conditionalFormatting sqref="C25">
    <cfRule type="expression" dxfId="0" priority="3">
      <formula>C24="B"</formula>
    </cfRule>
  </conditionalFormatting>
  <conditionalFormatting sqref="C25">
    <cfRule type="expression" dxfId="1" priority="4">
      <formula>AND(C24&lt;&gt;"",C24&lt;&gt;"B")</formula>
    </cfRule>
  </conditionalFormatting>
  <conditionalFormatting sqref="C35">
    <cfRule type="expression" dxfId="0" priority="5">
      <formula>C34="C"</formula>
    </cfRule>
  </conditionalFormatting>
  <conditionalFormatting sqref="C35">
    <cfRule type="expression" dxfId="1" priority="6">
      <formula>AND(C34&lt;&gt;"",C34&lt;&gt;"C")</formula>
    </cfRule>
  </conditionalFormatting>
  <conditionalFormatting sqref="C47">
    <cfRule type="expression" dxfId="0" priority="7">
      <formula>C46="C"</formula>
    </cfRule>
  </conditionalFormatting>
  <conditionalFormatting sqref="C47">
    <cfRule type="expression" dxfId="1" priority="8">
      <formula>AND(C46&lt;&gt;"",C46&lt;&gt;"C")</formula>
    </cfRule>
  </conditionalFormatting>
  <conditionalFormatting sqref="C57">
    <cfRule type="expression" dxfId="0" priority="9">
      <formula>C56="D"</formula>
    </cfRule>
  </conditionalFormatting>
  <conditionalFormatting sqref="C57">
    <cfRule type="expression" dxfId="1" priority="10">
      <formula>AND(C56&lt;&gt;"",C56&lt;&gt;"D")</formula>
    </cfRule>
  </conditionalFormatting>
  <conditionalFormatting sqref="C67">
    <cfRule type="expression" dxfId="0" priority="11">
      <formula>C66="C"</formula>
    </cfRule>
  </conditionalFormatting>
  <conditionalFormatting sqref="C67">
    <cfRule type="expression" dxfId="1" priority="12">
      <formula>AND(C66&lt;&gt;"",C66&lt;&gt;"C")</formula>
    </cfRule>
  </conditionalFormatting>
  <conditionalFormatting sqref="C77">
    <cfRule type="expression" dxfId="0" priority="13">
      <formula>C76="D"</formula>
    </cfRule>
  </conditionalFormatting>
  <conditionalFormatting sqref="C77">
    <cfRule type="expression" dxfId="1" priority="14">
      <formula>AND(C76&lt;&gt;"",C76&lt;&gt;"D")</formula>
    </cfRule>
  </conditionalFormatting>
  <conditionalFormatting sqref="C89">
    <cfRule type="expression" dxfId="0" priority="15">
      <formula>C88="A"</formula>
    </cfRule>
  </conditionalFormatting>
  <conditionalFormatting sqref="C89">
    <cfRule type="expression" dxfId="1" priority="16">
      <formula>AND(C88&lt;&gt;"",C88&lt;&gt;"A")</formula>
    </cfRule>
  </conditionalFormatting>
  <conditionalFormatting sqref="C101">
    <cfRule type="expression" dxfId="0" priority="17">
      <formula>C100="A"</formula>
    </cfRule>
  </conditionalFormatting>
  <conditionalFormatting sqref="C101">
    <cfRule type="expression" dxfId="1" priority="18">
      <formula>AND(C100&lt;&gt;"",C100&lt;&gt;"A")</formula>
    </cfRule>
  </conditionalFormatting>
  <conditionalFormatting sqref="C111">
    <cfRule type="expression" dxfId="0" priority="19">
      <formula>C110="B"</formula>
    </cfRule>
  </conditionalFormatting>
  <conditionalFormatting sqref="C111">
    <cfRule type="expression" dxfId="1" priority="20">
      <formula>AND(C110&lt;&gt;"",C110&lt;&gt;"B")</formula>
    </cfRule>
  </conditionalFormatting>
  <conditionalFormatting sqref="C121">
    <cfRule type="expression" dxfId="0" priority="21">
      <formula>C120="C"</formula>
    </cfRule>
  </conditionalFormatting>
  <conditionalFormatting sqref="C121">
    <cfRule type="expression" dxfId="1" priority="22">
      <formula>AND(C120&lt;&gt;"",C120&lt;&gt;"C")</formula>
    </cfRule>
  </conditionalFormatting>
  <conditionalFormatting sqref="C131">
    <cfRule type="expression" dxfId="0" priority="23">
      <formula>C130="A"</formula>
    </cfRule>
  </conditionalFormatting>
  <conditionalFormatting sqref="C131">
    <cfRule type="expression" dxfId="1" priority="24">
      <formula>AND(C130&lt;&gt;"",C130&lt;&gt;"A")</formula>
    </cfRule>
  </conditionalFormatting>
  <conditionalFormatting sqref="C143">
    <cfRule type="expression" dxfId="0" priority="25">
      <formula>C142="B"</formula>
    </cfRule>
  </conditionalFormatting>
  <conditionalFormatting sqref="C143">
    <cfRule type="expression" dxfId="1" priority="26">
      <formula>AND(C142&lt;&gt;"",C142&lt;&gt;"B")</formula>
    </cfRule>
  </conditionalFormatting>
  <conditionalFormatting sqref="C155">
    <cfRule type="expression" dxfId="0" priority="27">
      <formula>C154="B"</formula>
    </cfRule>
  </conditionalFormatting>
  <conditionalFormatting sqref="C155">
    <cfRule type="expression" dxfId="1" priority="28">
      <formula>AND(C154&lt;&gt;"",C154&lt;&gt;"B")</formula>
    </cfRule>
  </conditionalFormatting>
  <conditionalFormatting sqref="C165">
    <cfRule type="expression" dxfId="0" priority="29">
      <formula>C164="C"</formula>
    </cfRule>
  </conditionalFormatting>
  <conditionalFormatting sqref="C165">
    <cfRule type="expression" dxfId="1" priority="30">
      <formula>AND(C164&lt;&gt;"",C164&lt;&gt;"C")</formula>
    </cfRule>
  </conditionalFormatting>
  <conditionalFormatting sqref="C175">
    <cfRule type="expression" dxfId="0" priority="31">
      <formula>C174="A"</formula>
    </cfRule>
  </conditionalFormatting>
  <conditionalFormatting sqref="C175">
    <cfRule type="expression" dxfId="1" priority="32">
      <formula>AND(C174&lt;&gt;"",C174&lt;&gt;"A")</formula>
    </cfRule>
  </conditionalFormatting>
  <conditionalFormatting sqref="C187">
    <cfRule type="expression" dxfId="0" priority="33">
      <formula>C186="A"</formula>
    </cfRule>
  </conditionalFormatting>
  <conditionalFormatting sqref="C187">
    <cfRule type="expression" dxfId="1" priority="34">
      <formula>AND(C186&lt;&gt;"",C186&lt;&gt;"A")</formula>
    </cfRule>
  </conditionalFormatting>
  <conditionalFormatting sqref="C199">
    <cfRule type="expression" dxfId="0" priority="35">
      <formula>C198="C"</formula>
    </cfRule>
  </conditionalFormatting>
  <conditionalFormatting sqref="C199">
    <cfRule type="expression" dxfId="1" priority="36">
      <formula>AND(C198&lt;&gt;"",C198&lt;&gt;"C")</formula>
    </cfRule>
  </conditionalFormatting>
  <conditionalFormatting sqref="C209">
    <cfRule type="expression" dxfId="0" priority="37">
      <formula>C208="A"</formula>
    </cfRule>
  </conditionalFormatting>
  <conditionalFormatting sqref="C209">
    <cfRule type="expression" dxfId="1" priority="38">
      <formula>AND(C208&lt;&gt;"",C208&lt;&gt;"A")</formula>
    </cfRule>
  </conditionalFormatting>
  <conditionalFormatting sqref="C221">
    <cfRule type="expression" dxfId="0" priority="39">
      <formula>C220="C"</formula>
    </cfRule>
  </conditionalFormatting>
  <conditionalFormatting sqref="C221">
    <cfRule type="expression" dxfId="1" priority="40">
      <formula>AND(C220&lt;&gt;"",C220&lt;&gt;"C")</formula>
    </cfRule>
  </conditionalFormatting>
  <conditionalFormatting sqref="C231">
    <cfRule type="expression" dxfId="0" priority="41">
      <formula>C230="B"</formula>
    </cfRule>
  </conditionalFormatting>
  <conditionalFormatting sqref="C231">
    <cfRule type="expression" dxfId="1" priority="42">
      <formula>AND(C230&lt;&gt;"",C230&lt;&gt;"B")</formula>
    </cfRule>
  </conditionalFormatting>
  <conditionalFormatting sqref="C241">
    <cfRule type="expression" dxfId="0" priority="43">
      <formula>C240="A"</formula>
    </cfRule>
  </conditionalFormatting>
  <conditionalFormatting sqref="C241">
    <cfRule type="expression" dxfId="1" priority="44">
      <formula>AND(C240&lt;&gt;"",C240&lt;&gt;"A")</formula>
    </cfRule>
  </conditionalFormatting>
  <conditionalFormatting sqref="C253">
    <cfRule type="expression" dxfId="0" priority="45">
      <formula>C252="D"</formula>
    </cfRule>
  </conditionalFormatting>
  <conditionalFormatting sqref="C253">
    <cfRule type="expression" dxfId="1" priority="46">
      <formula>AND(C252&lt;&gt;"",C252&lt;&gt;"D")</formula>
    </cfRule>
  </conditionalFormatting>
  <conditionalFormatting sqref="C263">
    <cfRule type="expression" dxfId="0" priority="47">
      <formula>C262="A"</formula>
    </cfRule>
  </conditionalFormatting>
  <conditionalFormatting sqref="C263">
    <cfRule type="expression" dxfId="1" priority="48">
      <formula>AND(C262&lt;&gt;"",C262&lt;&gt;"A")</formula>
    </cfRule>
  </conditionalFormatting>
  <conditionalFormatting sqref="C273">
    <cfRule type="expression" dxfId="0" priority="49">
      <formula>C272="B"</formula>
    </cfRule>
  </conditionalFormatting>
  <conditionalFormatting sqref="C273">
    <cfRule type="expression" dxfId="1" priority="50">
      <formula>AND(C272&lt;&gt;"",C272&lt;&gt;"B")</formula>
    </cfRule>
  </conditionalFormatting>
  <conditionalFormatting sqref="C283">
    <cfRule type="expression" dxfId="0" priority="51">
      <formula>C282="C"</formula>
    </cfRule>
  </conditionalFormatting>
  <conditionalFormatting sqref="C283">
    <cfRule type="expression" dxfId="1" priority="52">
      <formula>AND(C282&lt;&gt;"",C282&lt;&gt;"C")</formula>
    </cfRule>
  </conditionalFormatting>
  <conditionalFormatting sqref="C293">
    <cfRule type="expression" dxfId="0" priority="53">
      <formula>C292="C"</formula>
    </cfRule>
  </conditionalFormatting>
  <conditionalFormatting sqref="C293">
    <cfRule type="expression" dxfId="1" priority="54">
      <formula>AND(C292&lt;&gt;"",C292&lt;&gt;"C")</formula>
    </cfRule>
  </conditionalFormatting>
  <conditionalFormatting sqref="C303">
    <cfRule type="expression" dxfId="0" priority="55">
      <formula>C302="C"</formula>
    </cfRule>
  </conditionalFormatting>
  <conditionalFormatting sqref="C303">
    <cfRule type="expression" dxfId="1" priority="56">
      <formula>AND(C302&lt;&gt;"",C302&lt;&gt;"C")</formula>
    </cfRule>
  </conditionalFormatting>
  <conditionalFormatting sqref="C313">
    <cfRule type="expression" dxfId="0" priority="57">
      <formula>C312="C"</formula>
    </cfRule>
  </conditionalFormatting>
  <conditionalFormatting sqref="C313">
    <cfRule type="expression" dxfId="1" priority="58">
      <formula>AND(C312&lt;&gt;"",C312&lt;&gt;"C")</formula>
    </cfRule>
  </conditionalFormatting>
  <conditionalFormatting sqref="C323">
    <cfRule type="expression" dxfId="0" priority="59">
      <formula>C322="B"</formula>
    </cfRule>
  </conditionalFormatting>
  <conditionalFormatting sqref="C323">
    <cfRule type="expression" dxfId="1" priority="60">
      <formula>AND(C322&lt;&gt;"",C322&lt;&gt;"B")</formula>
    </cfRule>
  </conditionalFormatting>
  <conditionalFormatting sqref="C333">
    <cfRule type="expression" dxfId="0" priority="61">
      <formula>C332="B"</formula>
    </cfRule>
  </conditionalFormatting>
  <conditionalFormatting sqref="C333">
    <cfRule type="expression" dxfId="1" priority="62">
      <formula>AND(C332&lt;&gt;"",C332&lt;&gt;"B")</formula>
    </cfRule>
  </conditionalFormatting>
  <conditionalFormatting sqref="C343">
    <cfRule type="expression" dxfId="0" priority="63">
      <formula>C342="C"</formula>
    </cfRule>
  </conditionalFormatting>
  <conditionalFormatting sqref="C343">
    <cfRule type="expression" dxfId="1" priority="64">
      <formula>AND(C342&lt;&gt;"",C342&lt;&gt;"C")</formula>
    </cfRule>
  </conditionalFormatting>
  <conditionalFormatting sqref="C353">
    <cfRule type="expression" dxfId="0" priority="65">
      <formula>C352="C"</formula>
    </cfRule>
  </conditionalFormatting>
  <conditionalFormatting sqref="C353">
    <cfRule type="expression" dxfId="1" priority="66">
      <formula>AND(C352&lt;&gt;"",C352&lt;&gt;"C")</formula>
    </cfRule>
  </conditionalFormatting>
  <conditionalFormatting sqref="C363">
    <cfRule type="expression" dxfId="0" priority="67">
      <formula>C362="A"</formula>
    </cfRule>
  </conditionalFormatting>
  <conditionalFormatting sqref="C363">
    <cfRule type="expression" dxfId="1" priority="68">
      <formula>AND(C362&lt;&gt;"",C362&lt;&gt;"A")</formula>
    </cfRule>
  </conditionalFormatting>
  <conditionalFormatting sqref="C373">
    <cfRule type="expression" dxfId="0" priority="69">
      <formula>C372="B"</formula>
    </cfRule>
  </conditionalFormatting>
  <conditionalFormatting sqref="C373">
    <cfRule type="expression" dxfId="1" priority="70">
      <formula>AND(C372&lt;&gt;"",C372&lt;&gt;"B")</formula>
    </cfRule>
  </conditionalFormatting>
  <conditionalFormatting sqref="C383">
    <cfRule type="expression" dxfId="0" priority="71">
      <formula>C382="B"</formula>
    </cfRule>
  </conditionalFormatting>
  <conditionalFormatting sqref="C383">
    <cfRule type="expression" dxfId="1" priority="72">
      <formula>AND(C382&lt;&gt;"",C382&lt;&gt;"B")</formula>
    </cfRule>
  </conditionalFormatting>
  <conditionalFormatting sqref="C393">
    <cfRule type="expression" dxfId="0" priority="73">
      <formula>C392="B"</formula>
    </cfRule>
  </conditionalFormatting>
  <conditionalFormatting sqref="C393">
    <cfRule type="expression" dxfId="1" priority="74">
      <formula>AND(C392&lt;&gt;"",C392&lt;&gt;"B")</formula>
    </cfRule>
  </conditionalFormatting>
  <conditionalFormatting sqref="C403">
    <cfRule type="expression" dxfId="0" priority="75">
      <formula>C402="C"</formula>
    </cfRule>
  </conditionalFormatting>
  <conditionalFormatting sqref="C403">
    <cfRule type="expression" dxfId="1" priority="76">
      <formula>AND(C402&lt;&gt;"",C402&lt;&gt;"C")</formula>
    </cfRule>
  </conditionalFormatting>
  <conditionalFormatting sqref="C413">
    <cfRule type="expression" dxfId="0" priority="77">
      <formula>C412="B"</formula>
    </cfRule>
  </conditionalFormatting>
  <conditionalFormatting sqref="C413">
    <cfRule type="expression" dxfId="1" priority="78">
      <formula>AND(C412&lt;&gt;"",C412&lt;&gt;"B")</formula>
    </cfRule>
  </conditionalFormatting>
  <conditionalFormatting sqref="C423">
    <cfRule type="expression" dxfId="0" priority="79">
      <formula>C422="B"</formula>
    </cfRule>
  </conditionalFormatting>
  <conditionalFormatting sqref="C423">
    <cfRule type="expression" dxfId="1" priority="80">
      <formula>AND(C422&lt;&gt;"",C422&lt;&gt;"B")</formula>
    </cfRule>
  </conditionalFormatting>
  <conditionalFormatting sqref="C433">
    <cfRule type="expression" dxfId="0" priority="81">
      <formula>C432="A"</formula>
    </cfRule>
  </conditionalFormatting>
  <conditionalFormatting sqref="C433">
    <cfRule type="expression" dxfId="1" priority="82">
      <formula>AND(C432&lt;&gt;"",C432&lt;&gt;"A")</formula>
    </cfRule>
  </conditionalFormatting>
  <conditionalFormatting sqref="C443">
    <cfRule type="expression" dxfId="0" priority="83">
      <formula>C442="B"</formula>
    </cfRule>
  </conditionalFormatting>
  <conditionalFormatting sqref="C443">
    <cfRule type="expression" dxfId="1" priority="84">
      <formula>AND(C442&lt;&gt;"",C442&lt;&gt;"B")</formula>
    </cfRule>
  </conditionalFormatting>
  <conditionalFormatting sqref="C453">
    <cfRule type="expression" dxfId="0" priority="85">
      <formula>C452="B"</formula>
    </cfRule>
  </conditionalFormatting>
  <conditionalFormatting sqref="C453">
    <cfRule type="expression" dxfId="1" priority="86">
      <formula>AND(C452&lt;&gt;"",C452&lt;&gt;"B")</formula>
    </cfRule>
  </conditionalFormatting>
  <conditionalFormatting sqref="C463">
    <cfRule type="expression" dxfId="0" priority="87">
      <formula>C462="A"</formula>
    </cfRule>
  </conditionalFormatting>
  <conditionalFormatting sqref="C463">
    <cfRule type="expression" dxfId="1" priority="88">
      <formula>AND(C462&lt;&gt;"",C462&lt;&gt;"A")</formula>
    </cfRule>
  </conditionalFormatting>
  <conditionalFormatting sqref="C473">
    <cfRule type="expression" dxfId="0" priority="89">
      <formula>C472="B"</formula>
    </cfRule>
  </conditionalFormatting>
  <conditionalFormatting sqref="C473">
    <cfRule type="expression" dxfId="1" priority="90">
      <formula>AND(C472&lt;&gt;"",C472&lt;&gt;"B")</formula>
    </cfRule>
  </conditionalFormatting>
  <conditionalFormatting sqref="C483">
    <cfRule type="expression" dxfId="0" priority="91">
      <formula>C482="B"</formula>
    </cfRule>
  </conditionalFormatting>
  <conditionalFormatting sqref="C483">
    <cfRule type="expression" dxfId="1" priority="92">
      <formula>AND(C482&lt;&gt;"",C482&lt;&gt;"B")</formula>
    </cfRule>
  </conditionalFormatting>
  <conditionalFormatting sqref="C493">
    <cfRule type="expression" dxfId="0" priority="93">
      <formula>C492="B"</formula>
    </cfRule>
  </conditionalFormatting>
  <conditionalFormatting sqref="C493">
    <cfRule type="expression" dxfId="1" priority="94">
      <formula>AND(C492&lt;&gt;"",C492&lt;&gt;"B")</formula>
    </cfRule>
  </conditionalFormatting>
  <conditionalFormatting sqref="C503">
    <cfRule type="expression" dxfId="0" priority="95">
      <formula>C502="C"</formula>
    </cfRule>
  </conditionalFormatting>
  <conditionalFormatting sqref="C503">
    <cfRule type="expression" dxfId="1" priority="96">
      <formula>AND(C502&lt;&gt;"",C502&lt;&gt;"C")</formula>
    </cfRule>
  </conditionalFormatting>
  <conditionalFormatting sqref="C513">
    <cfRule type="expression" dxfId="0" priority="97">
      <formula>C512="B"</formula>
    </cfRule>
  </conditionalFormatting>
  <conditionalFormatting sqref="C513">
    <cfRule type="expression" dxfId="1" priority="98">
      <formula>AND(C512&lt;&gt;"",C512&lt;&gt;"B")</formula>
    </cfRule>
  </conditionalFormatting>
  <conditionalFormatting sqref="C523">
    <cfRule type="expression" dxfId="0" priority="99">
      <formula>C522="B"</formula>
    </cfRule>
  </conditionalFormatting>
  <conditionalFormatting sqref="C523">
    <cfRule type="expression" dxfId="1" priority="100">
      <formula>AND(C522&lt;&gt;"",C522&lt;&gt;"B")</formula>
    </cfRule>
  </conditionalFormatting>
  <dataValidations>
    <dataValidation type="list" allowBlank="1" sqref="C12 C24 C34 C46 C56 C66 C76 C88 C100 C110 C120 C130 C142 C154 C164 C174 C186 C198 C208 C220 C230 C240 C252 C262 C272 C282 C292 C302 C312 C322 C332 C342 C352 C362 C372 C382 C392 C402 C412 C422 C432 C442 C452 C462 C472 C482 C492 C502 C512 C522">
      <formula1>"A,B,C,D"</formula1>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18.0"/>
    <col customWidth="1" min="3" max="3" width="72.0"/>
    <col customWidth="1" min="4" max="4" width="3.0"/>
    <col customWidth="1" min="5" max="26" width="8.71"/>
  </cols>
  <sheetData>
    <row r="1" ht="49.5" customHeight="1">
      <c r="A1" s="1"/>
      <c r="B1" s="2"/>
      <c r="C1" s="2"/>
      <c r="D1" s="1"/>
    </row>
    <row r="2" ht="49.5" customHeight="1">
      <c r="A2" s="1"/>
      <c r="B2" s="4" t="s">
        <v>1</v>
      </c>
      <c r="C2" s="5"/>
      <c r="D2" s="1"/>
    </row>
    <row r="3" ht="31.5" customHeight="1">
      <c r="A3" s="1"/>
      <c r="B3" s="6" t="s">
        <v>290</v>
      </c>
      <c r="C3" s="7"/>
      <c r="D3" s="1"/>
    </row>
    <row r="4">
      <c r="A4" s="1"/>
      <c r="B4" s="1"/>
      <c r="C4" s="1"/>
      <c r="D4" s="1"/>
    </row>
    <row r="5" ht="27.75" customHeight="1">
      <c r="A5" s="1"/>
      <c r="B5" s="8" t="s">
        <v>3</v>
      </c>
      <c r="C5" s="7"/>
      <c r="D5" s="1"/>
    </row>
    <row r="6" ht="57.75" customHeight="1">
      <c r="A6" s="1"/>
      <c r="B6" s="9" t="s">
        <v>291</v>
      </c>
      <c r="C6" s="7"/>
      <c r="D6" s="1"/>
    </row>
    <row r="7" ht="33.75" customHeight="1">
      <c r="A7" s="1"/>
      <c r="B7" s="10" t="s">
        <v>5</v>
      </c>
      <c r="C7" s="21" t="s">
        <v>292</v>
      </c>
      <c r="D7" s="1"/>
    </row>
    <row r="8" ht="33.75" customHeight="1">
      <c r="A8" s="1"/>
      <c r="B8" s="10" t="s">
        <v>7</v>
      </c>
      <c r="C8" s="21" t="s">
        <v>293</v>
      </c>
      <c r="D8" s="1"/>
    </row>
    <row r="9" ht="33.75" customHeight="1">
      <c r="A9" s="1"/>
      <c r="B9" s="10" t="s">
        <v>9</v>
      </c>
      <c r="C9" s="21" t="s">
        <v>294</v>
      </c>
      <c r="D9" s="1"/>
    </row>
    <row r="10" ht="33.75" customHeight="1">
      <c r="A10" s="1"/>
      <c r="B10" s="10" t="s">
        <v>11</v>
      </c>
      <c r="C10" s="21" t="s">
        <v>295</v>
      </c>
      <c r="D10" s="1"/>
    </row>
    <row r="11" ht="42.0" customHeight="1">
      <c r="A11" s="1"/>
      <c r="B11" s="12" t="s">
        <v>13</v>
      </c>
      <c r="C11" s="13"/>
      <c r="D11" s="1"/>
    </row>
    <row r="12" ht="39.75" customHeight="1">
      <c r="A12" s="1"/>
      <c r="B12" s="14" t="s">
        <v>14</v>
      </c>
      <c r="C12" s="15" t="str">
        <f>IF(C11="","← A〜D を選択してください",IF(C11="A","✅ 正解！ 素晴らしいです！","❌ 不正解... 正解は A です！"))</f>
        <v>← A〜D を選択してください</v>
      </c>
      <c r="D12" s="1"/>
    </row>
    <row r="13" ht="79.5" customHeight="1">
      <c r="A13" s="1"/>
      <c r="B13" s="16" t="s">
        <v>15</v>
      </c>
      <c r="C13" s="17" t="str">
        <f>IF(C11="","回答を選択すると解説が表示されます","正解はAです。
TCP/IPモデルは上から「アプリケーション層→トランスポート層→インターネット層→ネットワークインターフェース層」の4層構成です。
OSIの7層モデルと混同しないよう注意しましょう。")</f>
        <v>回答を選択すると解説が表示されます</v>
      </c>
      <c r="D13" s="1"/>
    </row>
    <row r="14" ht="15.75" customHeight="1">
      <c r="A14" s="1"/>
      <c r="B14" s="1"/>
      <c r="C14" s="1"/>
      <c r="D14" s="1"/>
    </row>
    <row r="15" ht="27.75" customHeight="1">
      <c r="A15" s="1"/>
      <c r="B15" s="8" t="s">
        <v>16</v>
      </c>
      <c r="C15" s="7"/>
      <c r="D15" s="1"/>
    </row>
    <row r="16" ht="57.75" customHeight="1">
      <c r="A16" s="1"/>
      <c r="B16" s="9" t="s">
        <v>296</v>
      </c>
      <c r="C16" s="7"/>
      <c r="D16" s="1"/>
    </row>
    <row r="17" ht="33.75" customHeight="1">
      <c r="A17" s="1"/>
      <c r="B17" s="10" t="s">
        <v>5</v>
      </c>
      <c r="C17" s="21" t="s">
        <v>297</v>
      </c>
      <c r="D17" s="1"/>
    </row>
    <row r="18" ht="33.75" customHeight="1">
      <c r="A18" s="1"/>
      <c r="B18" s="10" t="s">
        <v>7</v>
      </c>
      <c r="C18" s="21" t="s">
        <v>298</v>
      </c>
      <c r="D18" s="1"/>
    </row>
    <row r="19" ht="33.75" customHeight="1">
      <c r="A19" s="1"/>
      <c r="B19" s="10" t="s">
        <v>9</v>
      </c>
      <c r="C19" s="21" t="s">
        <v>299</v>
      </c>
      <c r="D19" s="1"/>
    </row>
    <row r="20" ht="33.75" customHeight="1">
      <c r="A20" s="1"/>
      <c r="B20" s="10" t="s">
        <v>11</v>
      </c>
      <c r="C20" s="21" t="s">
        <v>300</v>
      </c>
      <c r="D20" s="1"/>
    </row>
    <row r="21" ht="42.0" customHeight="1">
      <c r="A21" s="1"/>
      <c r="B21" s="12" t="s">
        <v>13</v>
      </c>
      <c r="C21" s="13"/>
      <c r="D21" s="1"/>
    </row>
    <row r="22" ht="39.75" customHeight="1">
      <c r="A22" s="1"/>
      <c r="B22" s="14" t="s">
        <v>14</v>
      </c>
      <c r="C22" s="15" t="str">
        <f>IF(C21="","← A〜D を選択してください",IF(C21="B","✅ 正解！ 素晴らしいです！","❌ 不正解... 正解は B です！"))</f>
        <v>← A〜D を選択してください</v>
      </c>
      <c r="D22" s="1"/>
    </row>
    <row r="23" ht="79.5" customHeight="1">
      <c r="A23" s="1"/>
      <c r="B23" s="16" t="s">
        <v>15</v>
      </c>
      <c r="C23" s="17" t="str">
        <f>IF(C21="","回答を選択すると解説が表示されます","正解はBです。
IPアドレスを使ったルーティングはネットワーク層（第3層）の仕事です。
データリンク層はMACアドレス、トランスポート層はTCP/UDPを扱います。Layer 3 = ルーティングと覚えましょう。")</f>
        <v>回答を選択すると解説が表示されます</v>
      </c>
      <c r="D23" s="1"/>
    </row>
    <row r="24" ht="15.75" customHeight="1">
      <c r="A24" s="1"/>
      <c r="B24" s="1"/>
      <c r="C24" s="1"/>
      <c r="D24" s="1"/>
    </row>
    <row r="25" ht="27.75" customHeight="1">
      <c r="A25" s="1"/>
      <c r="B25" s="8" t="s">
        <v>23</v>
      </c>
      <c r="C25" s="7"/>
      <c r="D25" s="1"/>
    </row>
    <row r="26" ht="57.75" customHeight="1">
      <c r="A26" s="1"/>
      <c r="B26" s="20" t="s">
        <v>301</v>
      </c>
      <c r="C26" s="7"/>
      <c r="D26" s="1"/>
    </row>
    <row r="27" ht="33.75" customHeight="1">
      <c r="A27" s="1"/>
      <c r="B27" s="10" t="s">
        <v>5</v>
      </c>
      <c r="C27" s="21" t="s">
        <v>302</v>
      </c>
      <c r="D27" s="1"/>
    </row>
    <row r="28" ht="33.75" customHeight="1">
      <c r="A28" s="1"/>
      <c r="B28" s="10" t="s">
        <v>7</v>
      </c>
      <c r="C28" s="21" t="s">
        <v>303</v>
      </c>
      <c r="D28" s="1"/>
    </row>
    <row r="29" ht="33.75" customHeight="1">
      <c r="A29" s="1"/>
      <c r="B29" s="10" t="s">
        <v>9</v>
      </c>
      <c r="C29" s="21" t="s">
        <v>304</v>
      </c>
      <c r="D29" s="1"/>
    </row>
    <row r="30" ht="33.75" customHeight="1">
      <c r="A30" s="1"/>
      <c r="B30" s="10" t="s">
        <v>11</v>
      </c>
      <c r="C30" s="21" t="s">
        <v>305</v>
      </c>
      <c r="D30" s="1"/>
    </row>
    <row r="31" ht="42.0" customHeight="1">
      <c r="A31" s="1"/>
      <c r="B31" s="12" t="s">
        <v>13</v>
      </c>
      <c r="C31" s="13"/>
      <c r="D31" s="1"/>
    </row>
    <row r="32" ht="39.75" customHeight="1">
      <c r="A32" s="1"/>
      <c r="B32" s="14" t="s">
        <v>14</v>
      </c>
      <c r="C32" s="15" t="str">
        <f>IF(C31="","← A〜D を選択してください",IF(C31="B","✅ 正解！ 素晴らしいです！","❌ 不正解... 正解は B です！"))</f>
        <v>← A〜D を選択してください</v>
      </c>
      <c r="D32" s="1"/>
    </row>
    <row r="33" ht="99.75" customHeight="1">
      <c r="A33" s="1"/>
      <c r="B33" s="16" t="s">
        <v>15</v>
      </c>
      <c r="C33" s="17" t="str">
        <f>IF(C31="","回答を選択すると解説が表示されます","正解はBです。
フレームはデータリンク層（Layer 2）のデータ単位でMACアドレスを含みます。
パケットはネットワーク層（Layer 3）のデータ単位でIPアドレスを含みます。
Layer 2 = フレーム、Layer 3 = パケットと覚えましょう。")</f>
        <v>回答を選択すると解説が表示されます</v>
      </c>
      <c r="D33" s="1"/>
    </row>
    <row r="34" ht="15.75" customHeight="1">
      <c r="A34" s="1"/>
      <c r="B34" s="1"/>
      <c r="C34" s="1"/>
      <c r="D34" s="1"/>
    </row>
    <row r="35" ht="27.75" customHeight="1">
      <c r="A35" s="1"/>
      <c r="B35" s="8" t="s">
        <v>29</v>
      </c>
      <c r="C35" s="7"/>
      <c r="D35" s="1"/>
    </row>
    <row r="36" ht="57.75" customHeight="1">
      <c r="A36" s="1"/>
      <c r="B36" s="20" t="s">
        <v>306</v>
      </c>
      <c r="C36" s="7"/>
      <c r="D36" s="1"/>
    </row>
    <row r="37" ht="33.75" customHeight="1">
      <c r="A37" s="1"/>
      <c r="B37" s="10" t="s">
        <v>5</v>
      </c>
      <c r="C37" s="21" t="s">
        <v>307</v>
      </c>
      <c r="D37" s="1"/>
    </row>
    <row r="38" ht="33.75" customHeight="1">
      <c r="A38" s="1"/>
      <c r="B38" s="10" t="s">
        <v>7</v>
      </c>
      <c r="C38" s="21" t="s">
        <v>308</v>
      </c>
      <c r="D38" s="1"/>
    </row>
    <row r="39" ht="33.75" customHeight="1">
      <c r="A39" s="1"/>
      <c r="B39" s="10" t="s">
        <v>9</v>
      </c>
      <c r="C39" s="21" t="s">
        <v>309</v>
      </c>
      <c r="D39" s="1"/>
    </row>
    <row r="40" ht="33.75" customHeight="1">
      <c r="A40" s="1"/>
      <c r="B40" s="10" t="s">
        <v>11</v>
      </c>
      <c r="C40" s="21" t="s">
        <v>310</v>
      </c>
      <c r="D40" s="1"/>
    </row>
    <row r="41" ht="42.0" customHeight="1">
      <c r="A41" s="1"/>
      <c r="B41" s="12" t="s">
        <v>13</v>
      </c>
      <c r="C41" s="13"/>
      <c r="D41" s="1"/>
    </row>
    <row r="42" ht="39.75" customHeight="1">
      <c r="A42" s="1"/>
      <c r="B42" s="14" t="s">
        <v>14</v>
      </c>
      <c r="C42" s="15" t="str">
        <f>IF(C41="","← A〜D を選択してください",IF(C41="B","✅ 正解！ 素晴らしいです！","❌ 不正解... 正解は B です！"))</f>
        <v>← A〜D を選択してください</v>
      </c>
      <c r="D42" s="1"/>
    </row>
    <row r="43" ht="79.5" customHeight="1">
      <c r="A43" s="1"/>
      <c r="B43" s="16" t="s">
        <v>15</v>
      </c>
      <c r="C43" s="17" t="str">
        <f>IF(C41="","回答を選択すると解説が表示されます","正解はBです。
帯域幅は「最大で出せる速度（理論値）」、スループットは「実際に出ている速度（実測値）」です。
高速道路の速度制限が帯域幅、実際に走っている速度がスループットのイメージです。")</f>
        <v>回答を選択すると解説が表示されます</v>
      </c>
      <c r="D43" s="1"/>
    </row>
    <row r="44" ht="15.75" customHeight="1">
      <c r="A44" s="1"/>
      <c r="B44" s="1"/>
      <c r="C44" s="1"/>
      <c r="D44" s="1"/>
    </row>
    <row r="45" ht="27.75" customHeight="1">
      <c r="A45" s="1"/>
      <c r="B45" s="8" t="s">
        <v>36</v>
      </c>
      <c r="C45" s="7"/>
      <c r="D45" s="1"/>
    </row>
    <row r="46" ht="57.75" customHeight="1">
      <c r="A46" s="1"/>
      <c r="B46" s="20" t="s">
        <v>311</v>
      </c>
      <c r="C46" s="7"/>
      <c r="D46" s="1"/>
    </row>
    <row r="47" ht="33.75" customHeight="1">
      <c r="A47" s="1"/>
      <c r="B47" s="10" t="s">
        <v>5</v>
      </c>
      <c r="C47" s="11" t="s">
        <v>64</v>
      </c>
      <c r="D47" s="1"/>
    </row>
    <row r="48" ht="33.75" customHeight="1">
      <c r="A48" s="1"/>
      <c r="B48" s="10" t="s">
        <v>7</v>
      </c>
      <c r="C48" s="11" t="s">
        <v>65</v>
      </c>
      <c r="D48" s="1"/>
    </row>
    <row r="49" ht="33.75" customHeight="1">
      <c r="A49" s="1"/>
      <c r="B49" s="10" t="s">
        <v>9</v>
      </c>
      <c r="C49" s="21" t="s">
        <v>312</v>
      </c>
      <c r="D49" s="1"/>
    </row>
    <row r="50" ht="33.75" customHeight="1">
      <c r="A50" s="1"/>
      <c r="B50" s="10" t="s">
        <v>11</v>
      </c>
      <c r="C50" s="21" t="s">
        <v>313</v>
      </c>
      <c r="D50" s="1"/>
    </row>
    <row r="51" ht="42.0" customHeight="1">
      <c r="A51" s="1"/>
      <c r="B51" s="12" t="s">
        <v>13</v>
      </c>
      <c r="C51" s="13"/>
      <c r="D51" s="1"/>
    </row>
    <row r="52" ht="39.75" customHeight="1">
      <c r="A52" s="1"/>
      <c r="B52" s="14" t="s">
        <v>14</v>
      </c>
      <c r="C52" s="15" t="str">
        <f>IF(C51="","← A〜D を選択してください",IF(C51="A","✅ 正解！ 素晴らしいです！","❌ 不正解... 正解は A です！"))</f>
        <v>← A〜D を選択してください</v>
      </c>
      <c r="D52" s="1"/>
    </row>
    <row r="53" ht="79.5" customHeight="1">
      <c r="A53" s="1"/>
      <c r="B53" s="16" t="s">
        <v>15</v>
      </c>
      <c r="C53" s="17" t="str">
        <f>IF(C51="","回答を選択すると解説が表示されます","正解はA（True）です。
帯域幅が低いとデータが滞留して待ち時間（レイテンシー）が増加します。
高速道路の車線が少ないと渋滞が発生するのと同じ原理です。")</f>
        <v>回答を選択すると解説が表示されます</v>
      </c>
      <c r="D53" s="1"/>
    </row>
    <row r="54" ht="15.75" customHeight="1">
      <c r="A54" s="1"/>
      <c r="B54" s="1"/>
      <c r="C54" s="1"/>
      <c r="D54" s="1"/>
    </row>
    <row r="55" ht="27.75" customHeight="1">
      <c r="A55" s="1"/>
      <c r="B55" s="8" t="s">
        <v>42</v>
      </c>
      <c r="C55" s="7"/>
      <c r="D55" s="1"/>
    </row>
    <row r="56" ht="57.75" customHeight="1">
      <c r="A56" s="1"/>
      <c r="B56" s="9" t="s">
        <v>314</v>
      </c>
      <c r="C56" s="7"/>
      <c r="D56" s="1"/>
    </row>
    <row r="57" ht="33.75" customHeight="1">
      <c r="A57" s="1"/>
      <c r="B57" s="10" t="s">
        <v>5</v>
      </c>
      <c r="C57" s="11" t="s">
        <v>315</v>
      </c>
      <c r="D57" s="1"/>
    </row>
    <row r="58" ht="33.75" customHeight="1">
      <c r="A58" s="1"/>
      <c r="B58" s="10" t="s">
        <v>7</v>
      </c>
      <c r="C58" s="11" t="s">
        <v>316</v>
      </c>
      <c r="D58" s="1"/>
    </row>
    <row r="59" ht="33.75" customHeight="1">
      <c r="A59" s="1"/>
      <c r="B59" s="10" t="s">
        <v>9</v>
      </c>
      <c r="C59" s="11" t="s">
        <v>317</v>
      </c>
      <c r="D59" s="1"/>
    </row>
    <row r="60" ht="33.75" customHeight="1">
      <c r="A60" s="1"/>
      <c r="B60" s="10" t="s">
        <v>11</v>
      </c>
      <c r="C60" s="11" t="s">
        <v>318</v>
      </c>
      <c r="D60" s="1"/>
    </row>
    <row r="61" ht="42.0" customHeight="1">
      <c r="A61" s="1"/>
      <c r="B61" s="12" t="s">
        <v>13</v>
      </c>
      <c r="C61" s="13"/>
      <c r="D61" s="1"/>
    </row>
    <row r="62" ht="39.75" customHeight="1">
      <c r="A62" s="1"/>
      <c r="B62" s="14" t="s">
        <v>14</v>
      </c>
      <c r="C62" s="15" t="str">
        <f>IF(C61="","← A〜D を選択してください",IF(C61="C","✅ 正解！ 素晴らしいです！","❌ 不正解... 正解は C です！"))</f>
        <v>← A〜D を選択してください</v>
      </c>
      <c r="D62" s="1"/>
    </row>
    <row r="63" ht="120.0" customHeight="1">
      <c r="A63" s="1"/>
      <c r="B63" s="16" t="s">
        <v>15</v>
      </c>
      <c r="C63" s="17" t="str">
        <f>IF(C61="","回答を選択すると解説が表示されます","正解はCです。
LAN（Local）= 建物・オフィス内の小規模ネットワーク
WAN（Wide）= 都市・国をまたぐ広域ネットワーク
MAN（Metropolitan）= 都市規模のネットワーク
PAN（Personal）= Bluetooth等の個人周辺ネットワーク")</f>
        <v>回答を選択すると解説が表示されます</v>
      </c>
      <c r="D63" s="1"/>
    </row>
    <row r="64" ht="15.75" customHeight="1">
      <c r="A64" s="1"/>
      <c r="B64" s="1"/>
      <c r="C64" s="1"/>
      <c r="D64" s="1"/>
    </row>
    <row r="65" ht="27.75" customHeight="1">
      <c r="A65" s="1"/>
      <c r="B65" s="8" t="s">
        <v>48</v>
      </c>
      <c r="C65" s="7"/>
      <c r="D65" s="1"/>
    </row>
    <row r="66" ht="57.75" customHeight="1">
      <c r="A66" s="1"/>
      <c r="B66" s="20" t="s">
        <v>319</v>
      </c>
      <c r="C66" s="7"/>
      <c r="D66" s="1"/>
    </row>
    <row r="67" ht="33.75" customHeight="1">
      <c r="A67" s="1"/>
      <c r="B67" s="10" t="s">
        <v>5</v>
      </c>
      <c r="C67" s="11" t="s">
        <v>139</v>
      </c>
      <c r="D67" s="1"/>
    </row>
    <row r="68" ht="33.75" customHeight="1">
      <c r="A68" s="1"/>
      <c r="B68" s="10" t="s">
        <v>7</v>
      </c>
      <c r="C68" s="11" t="s">
        <v>137</v>
      </c>
      <c r="D68" s="1"/>
    </row>
    <row r="69" ht="33.75" customHeight="1">
      <c r="A69" s="1"/>
      <c r="B69" s="10" t="s">
        <v>9</v>
      </c>
      <c r="C69" s="11" t="s">
        <v>138</v>
      </c>
      <c r="D69" s="1"/>
    </row>
    <row r="70" ht="33.75" customHeight="1">
      <c r="A70" s="1"/>
      <c r="B70" s="10" t="s">
        <v>11</v>
      </c>
      <c r="C70" s="11" t="s">
        <v>140</v>
      </c>
      <c r="D70" s="1"/>
    </row>
    <row r="71" ht="42.0" customHeight="1">
      <c r="A71" s="1"/>
      <c r="B71" s="12" t="s">
        <v>13</v>
      </c>
      <c r="C71" s="13"/>
      <c r="D71" s="1"/>
    </row>
    <row r="72" ht="39.75" customHeight="1">
      <c r="A72" s="1"/>
      <c r="B72" s="14" t="s">
        <v>14</v>
      </c>
      <c r="C72" s="15" t="str">
        <f>IF(C71="","← A〜D を選択してください",IF(C71="D","✅ 正解！ 素晴らしいです！","❌ 不正解... 正解は D です！"))</f>
        <v>← A〜D を選択してください</v>
      </c>
      <c r="D72" s="1"/>
    </row>
    <row r="73" ht="79.5" customHeight="1">
      <c r="A73" s="1"/>
      <c r="B73" s="16" t="s">
        <v>15</v>
      </c>
      <c r="C73" s="17" t="str">
        <f>IF(C71="","回答を選択すると解説が表示されます","正解はDです。
個人の周辺の超短距離ネットワークはPAN（Personal Area Network）です。
Bluetooth・USBでの接続がPANの代表例です。")</f>
        <v>回答を選択すると解説が表示されます</v>
      </c>
      <c r="D73" s="1"/>
    </row>
    <row r="74" ht="15.75" customHeight="1">
      <c r="A74" s="1"/>
      <c r="B74" s="1"/>
      <c r="C74" s="1"/>
      <c r="D74" s="1"/>
    </row>
    <row r="75" ht="27.75" customHeight="1">
      <c r="A75" s="1"/>
      <c r="B75" s="8" t="s">
        <v>54</v>
      </c>
      <c r="C75" s="7"/>
      <c r="D75" s="1"/>
    </row>
    <row r="76" ht="57.75" customHeight="1">
      <c r="A76" s="1"/>
      <c r="B76" s="20" t="s">
        <v>320</v>
      </c>
      <c r="C76" s="7"/>
      <c r="D76" s="1"/>
    </row>
    <row r="77" ht="33.75" customHeight="1">
      <c r="A77" s="1"/>
      <c r="B77" s="10" t="s">
        <v>5</v>
      </c>
      <c r="C77" s="11" t="s">
        <v>139</v>
      </c>
      <c r="D77" s="1"/>
    </row>
    <row r="78" ht="33.75" customHeight="1">
      <c r="A78" s="1"/>
      <c r="B78" s="10" t="s">
        <v>7</v>
      </c>
      <c r="C78" s="11" t="s">
        <v>137</v>
      </c>
      <c r="D78" s="1"/>
    </row>
    <row r="79" ht="33.75" customHeight="1">
      <c r="A79" s="1"/>
      <c r="B79" s="10" t="s">
        <v>9</v>
      </c>
      <c r="C79" s="11" t="s">
        <v>138</v>
      </c>
      <c r="D79" s="1"/>
    </row>
    <row r="80" ht="33.75" customHeight="1">
      <c r="A80" s="1"/>
      <c r="B80" s="10" t="s">
        <v>11</v>
      </c>
      <c r="C80" s="11" t="s">
        <v>140</v>
      </c>
      <c r="D80" s="1"/>
    </row>
    <row r="81" ht="42.0" customHeight="1">
      <c r="A81" s="1"/>
      <c r="B81" s="12" t="s">
        <v>13</v>
      </c>
      <c r="C81" s="13"/>
      <c r="D81" s="1"/>
    </row>
    <row r="82" ht="39.75" customHeight="1">
      <c r="A82" s="1"/>
      <c r="B82" s="14" t="s">
        <v>14</v>
      </c>
      <c r="C82" s="15" t="str">
        <f>IF(C81="","← A〜D を選択してください",IF(C81="C","✅ 正解！ 素晴らしいです！","❌ 不正解... 正解は C です！"))</f>
        <v>← A〜D を選択してください</v>
      </c>
      <c r="D82" s="1"/>
    </row>
    <row r="83" ht="79.5" customHeight="1">
      <c r="A83" s="1"/>
      <c r="B83" s="16" t="s">
        <v>15</v>
      </c>
      <c r="C83" s="17" t="str">
        <f>IF(C81="","回答を選択すると解説が表示されます","正解はCです。
都市規模のネットワークはMAN（Metropolitan Area Network）です。
LANより広く、WANより狭い、市内の複数拠点を繋ぐネットワークがMANです。")</f>
        <v>回答を選択すると解説が表示されます</v>
      </c>
      <c r="D83" s="1"/>
    </row>
    <row r="84" ht="15.75" customHeight="1">
      <c r="A84" s="1"/>
      <c r="B84" s="1"/>
      <c r="C84" s="1"/>
      <c r="D84" s="1"/>
    </row>
    <row r="85" ht="27.75" customHeight="1">
      <c r="A85" s="1"/>
      <c r="B85" s="8" t="s">
        <v>61</v>
      </c>
      <c r="C85" s="7"/>
      <c r="D85" s="1"/>
    </row>
    <row r="86" ht="57.75" customHeight="1">
      <c r="A86" s="1"/>
      <c r="B86" s="20" t="s">
        <v>321</v>
      </c>
      <c r="C86" s="7"/>
      <c r="D86" s="1"/>
    </row>
    <row r="87" ht="33.75" customHeight="1">
      <c r="A87" s="1"/>
      <c r="B87" s="10" t="s">
        <v>5</v>
      </c>
      <c r="C87" s="21" t="s">
        <v>322</v>
      </c>
      <c r="D87" s="1"/>
    </row>
    <row r="88" ht="33.75" customHeight="1">
      <c r="A88" s="1"/>
      <c r="B88" s="10" t="s">
        <v>7</v>
      </c>
      <c r="C88" s="21" t="s">
        <v>323</v>
      </c>
      <c r="D88" s="1"/>
    </row>
    <row r="89" ht="33.75" customHeight="1">
      <c r="A89" s="1"/>
      <c r="B89" s="10" t="s">
        <v>9</v>
      </c>
      <c r="C89" s="21" t="s">
        <v>324</v>
      </c>
      <c r="D89" s="1"/>
    </row>
    <row r="90" ht="33.75" customHeight="1">
      <c r="A90" s="1"/>
      <c r="B90" s="10" t="s">
        <v>11</v>
      </c>
      <c r="C90" s="21" t="s">
        <v>325</v>
      </c>
      <c r="D90" s="1"/>
    </row>
    <row r="91" ht="42.0" customHeight="1">
      <c r="A91" s="1"/>
      <c r="B91" s="12" t="s">
        <v>13</v>
      </c>
      <c r="C91" s="13"/>
      <c r="D91" s="1"/>
    </row>
    <row r="92" ht="39.75" customHeight="1">
      <c r="A92" s="1"/>
      <c r="B92" s="14" t="s">
        <v>14</v>
      </c>
      <c r="C92" s="15" t="str">
        <f>IF(C91="","← A〜D を選択してください",IF(C91="B","✅ 正解！ 素晴らしいです！","❌ 不正解... 正解は B です！"))</f>
        <v>← A〜D を選択してください</v>
      </c>
      <c r="D92" s="1"/>
    </row>
    <row r="93" ht="79.5" customHeight="1">
      <c r="A93" s="1"/>
      <c r="B93" s="16" t="s">
        <v>15</v>
      </c>
      <c r="C93" s="17" t="str">
        <f>IF(C91="","回答を選択すると解説が表示されます","正解はBです。
スター型トポロジーは全デバイスが中央のスイッチやハブに集中して接続される形態です。
現在のLANで最も一般的なトポロジーで、1か所が故障しても他への影響が少ない利点があります。")</f>
        <v>回答を選択すると解説が表示されます</v>
      </c>
      <c r="D93" s="1"/>
    </row>
    <row r="94" ht="15.75" customHeight="1">
      <c r="A94" s="1"/>
      <c r="B94" s="1"/>
      <c r="C94" s="1"/>
      <c r="D94" s="1"/>
    </row>
    <row r="95" ht="27.75" customHeight="1">
      <c r="A95" s="1"/>
      <c r="B95" s="8" t="s">
        <v>68</v>
      </c>
      <c r="C95" s="7"/>
      <c r="D95" s="1"/>
    </row>
    <row r="96" ht="57.75" customHeight="1">
      <c r="A96" s="1"/>
      <c r="B96" s="20" t="s">
        <v>326</v>
      </c>
      <c r="C96" s="7"/>
      <c r="D96" s="1"/>
    </row>
    <row r="97" ht="33.75" customHeight="1">
      <c r="A97" s="1"/>
      <c r="B97" s="10" t="s">
        <v>5</v>
      </c>
      <c r="C97" s="11" t="s">
        <v>59</v>
      </c>
      <c r="D97" s="1"/>
    </row>
    <row r="98" ht="33.75" customHeight="1">
      <c r="A98" s="1"/>
      <c r="B98" s="10" t="s">
        <v>7</v>
      </c>
      <c r="C98" s="11" t="s">
        <v>58</v>
      </c>
      <c r="D98" s="1"/>
    </row>
    <row r="99" ht="33.75" customHeight="1">
      <c r="A99" s="1"/>
      <c r="B99" s="10" t="s">
        <v>9</v>
      </c>
      <c r="C99" s="11" t="s">
        <v>57</v>
      </c>
      <c r="D99" s="1"/>
    </row>
    <row r="100" ht="33.75" customHeight="1">
      <c r="A100" s="1"/>
      <c r="B100" s="10" t="s">
        <v>11</v>
      </c>
      <c r="C100" s="11" t="s">
        <v>60</v>
      </c>
      <c r="D100" s="1"/>
    </row>
    <row r="101" ht="42.0" customHeight="1">
      <c r="A101" s="1"/>
      <c r="B101" s="12" t="s">
        <v>13</v>
      </c>
      <c r="C101" s="13"/>
      <c r="D101" s="1"/>
    </row>
    <row r="102" ht="39.75" customHeight="1">
      <c r="A102" s="1"/>
      <c r="B102" s="14" t="s">
        <v>14</v>
      </c>
      <c r="C102" s="15" t="str">
        <f>IF(C101="","← A〜D を選択してください",IF(C101="C","✅ 正解！ 素晴らしいです！","❌ 不正解... 正解は C です！"))</f>
        <v>← A〜D を選択してください</v>
      </c>
      <c r="D102" s="1"/>
    </row>
    <row r="103" ht="79.5" customHeight="1">
      <c r="A103" s="1"/>
      <c r="B103" s="16" t="s">
        <v>15</v>
      </c>
      <c r="C103" s="17" t="str">
        <f>IF(C101="","回答を選択すると解説が表示されます","正解はCです。
IaaS（Infrastructure as a Service）は仮想マシン・ストレージ・ネットワークなどのインフラを提供するサービスモデルです。
PaaSは開発プラットフォーム、SaaSはアプリをそのまま提供するサービスです。")</f>
        <v>回答を選択すると解説が表示されます</v>
      </c>
      <c r="D103" s="1"/>
    </row>
    <row r="104" ht="15.75" customHeight="1">
      <c r="A104" s="1"/>
      <c r="B104" s="1"/>
      <c r="C104" s="1"/>
      <c r="D104" s="1"/>
    </row>
    <row r="105" ht="27.75" customHeight="1">
      <c r="A105" s="1"/>
      <c r="B105" s="8" t="s">
        <v>74</v>
      </c>
      <c r="C105" s="7"/>
      <c r="D105" s="1"/>
    </row>
    <row r="106" ht="57.75" customHeight="1">
      <c r="A106" s="1"/>
      <c r="B106" s="20" t="s">
        <v>327</v>
      </c>
      <c r="C106" s="7"/>
      <c r="D106" s="1"/>
    </row>
    <row r="107" ht="33.75" customHeight="1">
      <c r="A107" s="1"/>
      <c r="B107" s="10" t="s">
        <v>5</v>
      </c>
      <c r="C107" s="11" t="s">
        <v>57</v>
      </c>
      <c r="D107" s="1"/>
    </row>
    <row r="108" ht="33.75" customHeight="1">
      <c r="A108" s="1"/>
      <c r="B108" s="10" t="s">
        <v>7</v>
      </c>
      <c r="C108" s="11" t="s">
        <v>58</v>
      </c>
      <c r="D108" s="1"/>
    </row>
    <row r="109" ht="33.75" customHeight="1">
      <c r="A109" s="1"/>
      <c r="B109" s="10" t="s">
        <v>9</v>
      </c>
      <c r="C109" s="11" t="s">
        <v>59</v>
      </c>
      <c r="D109" s="1"/>
    </row>
    <row r="110" ht="33.75" customHeight="1">
      <c r="A110" s="1"/>
      <c r="B110" s="10" t="s">
        <v>11</v>
      </c>
      <c r="C110" s="21" t="s">
        <v>328</v>
      </c>
      <c r="D110" s="1"/>
    </row>
    <row r="111" ht="42.0" customHeight="1">
      <c r="A111" s="1"/>
      <c r="B111" s="12" t="s">
        <v>13</v>
      </c>
      <c r="C111" s="13"/>
      <c r="D111" s="1"/>
    </row>
    <row r="112" ht="39.75" customHeight="1">
      <c r="A112" s="1"/>
      <c r="B112" s="14" t="s">
        <v>14</v>
      </c>
      <c r="C112" s="15" t="str">
        <f>IF(C111="","← A〜D を選択してください",IF(C111="C","✅ 正解！ 素晴らしいです！","❌ 不正解... 正解は C です！"))</f>
        <v>← A〜D を選択してください</v>
      </c>
      <c r="D112" s="1"/>
    </row>
    <row r="113" ht="79.5" customHeight="1">
      <c r="A113" s="1"/>
      <c r="B113" s="16" t="s">
        <v>15</v>
      </c>
      <c r="C113" s="17" t="str">
        <f>IF(C111="","回答を選択すると解説が表示されます","正解はCです。
すぐに使えるアプリをクラウドで提供するのがSaaS（Software as a Service）です。
AdobeのCreative CloudやGoogleドキュメントもSaaSの例です。")</f>
        <v>回答を選択すると解説が表示されます</v>
      </c>
      <c r="D113" s="1"/>
    </row>
    <row r="114" ht="15.75" customHeight="1">
      <c r="A114" s="1"/>
      <c r="B114" s="1"/>
      <c r="C114" s="1"/>
      <c r="D114" s="1"/>
    </row>
    <row r="115" ht="27.75" customHeight="1">
      <c r="A115" s="1"/>
      <c r="B115" s="8" t="s">
        <v>80</v>
      </c>
      <c r="C115" s="7"/>
      <c r="D115" s="1"/>
    </row>
    <row r="116" ht="57.75" customHeight="1">
      <c r="A116" s="1"/>
      <c r="B116" s="20" t="s">
        <v>329</v>
      </c>
      <c r="C116" s="7"/>
      <c r="D116" s="1"/>
    </row>
    <row r="117" ht="33.75" customHeight="1">
      <c r="A117" s="1"/>
      <c r="B117" s="10" t="s">
        <v>5</v>
      </c>
      <c r="C117" s="11" t="s">
        <v>57</v>
      </c>
      <c r="D117" s="1"/>
    </row>
    <row r="118" ht="33.75" customHeight="1">
      <c r="A118" s="1"/>
      <c r="B118" s="10" t="s">
        <v>7</v>
      </c>
      <c r="C118" s="11" t="s">
        <v>58</v>
      </c>
      <c r="D118" s="1"/>
    </row>
    <row r="119" ht="33.75" customHeight="1">
      <c r="A119" s="1"/>
      <c r="B119" s="10" t="s">
        <v>9</v>
      </c>
      <c r="C119" s="11" t="s">
        <v>59</v>
      </c>
      <c r="D119" s="1"/>
    </row>
    <row r="120" ht="33.75" customHeight="1">
      <c r="A120" s="1"/>
      <c r="B120" s="10" t="s">
        <v>11</v>
      </c>
      <c r="C120" s="21" t="s">
        <v>330</v>
      </c>
      <c r="D120" s="1"/>
    </row>
    <row r="121" ht="42.0" customHeight="1">
      <c r="A121" s="1"/>
      <c r="B121" s="12" t="s">
        <v>13</v>
      </c>
      <c r="C121" s="13"/>
      <c r="D121" s="1"/>
    </row>
    <row r="122" ht="39.75" customHeight="1">
      <c r="A122" s="1"/>
      <c r="B122" s="14" t="s">
        <v>14</v>
      </c>
      <c r="C122" s="15" t="str">
        <f>IF(C121="","← A〜D を選択してください",IF(C121="B","✅ 正解！ 素晴らしいです！","❌ 不正解... 正解は B です！"))</f>
        <v>← A〜D を選択してください</v>
      </c>
      <c r="D122" s="1"/>
    </row>
    <row r="123" ht="79.5" customHeight="1">
      <c r="A123" s="1"/>
      <c r="B123" s="16" t="s">
        <v>15</v>
      </c>
      <c r="C123" s="17" t="str">
        <f>IF(C121="","回答を選択すると解説が表示されます","正解はBです。
開発ツール・プラットフォームを提供するのがPaaS（Platform as a Service）です。
HerokuやAWS Elastic Beanstalkがその例です。")</f>
        <v>回答を選択すると解説が表示されます</v>
      </c>
      <c r="D123" s="1"/>
    </row>
    <row r="124" ht="15.75" customHeight="1">
      <c r="A124" s="1"/>
      <c r="B124" s="1"/>
      <c r="C124" s="1"/>
      <c r="D124" s="1"/>
    </row>
    <row r="125" ht="27.75" customHeight="1">
      <c r="A125" s="1"/>
      <c r="B125" s="8" t="s">
        <v>86</v>
      </c>
      <c r="C125" s="7"/>
      <c r="D125" s="1"/>
    </row>
    <row r="126" ht="57.75" customHeight="1">
      <c r="A126" s="1"/>
      <c r="B126" s="20" t="s">
        <v>331</v>
      </c>
      <c r="C126" s="7"/>
      <c r="D126" s="1"/>
    </row>
    <row r="127" ht="33.75" customHeight="1">
      <c r="A127" s="1"/>
      <c r="B127" s="10" t="s">
        <v>5</v>
      </c>
      <c r="C127" s="21" t="s">
        <v>332</v>
      </c>
      <c r="D127" s="1"/>
    </row>
    <row r="128" ht="33.75" customHeight="1">
      <c r="A128" s="1"/>
      <c r="B128" s="10" t="s">
        <v>7</v>
      </c>
      <c r="C128" s="21" t="s">
        <v>333</v>
      </c>
      <c r="D128" s="1"/>
    </row>
    <row r="129" ht="33.75" customHeight="1">
      <c r="A129" s="1"/>
      <c r="B129" s="10" t="s">
        <v>9</v>
      </c>
      <c r="C129" s="21" t="s">
        <v>334</v>
      </c>
      <c r="D129" s="1"/>
    </row>
    <row r="130" ht="33.75" customHeight="1">
      <c r="A130" s="1"/>
      <c r="B130" s="10" t="s">
        <v>11</v>
      </c>
      <c r="C130" s="21" t="s">
        <v>335</v>
      </c>
      <c r="D130" s="1"/>
    </row>
    <row r="131" ht="42.0" customHeight="1">
      <c r="A131" s="1"/>
      <c r="B131" s="12" t="s">
        <v>13</v>
      </c>
      <c r="C131" s="13"/>
      <c r="D131" s="1"/>
    </row>
    <row r="132" ht="39.75" customHeight="1">
      <c r="A132" s="1"/>
      <c r="B132" s="14" t="s">
        <v>14</v>
      </c>
      <c r="C132" s="15" t="str">
        <f>IF(C131="","← A〜D を選択してください",IF(C131="B","✅ 正解！ 素晴らしいです！","❌ 不正解... 正解は B です！"))</f>
        <v>← A〜D を選択してください</v>
      </c>
      <c r="D132" s="1"/>
    </row>
    <row r="133" ht="99.75" customHeight="1">
      <c r="A133" s="1"/>
      <c r="B133" s="16" t="s">
        <v>15</v>
      </c>
      <c r="C133" s="17" t="str">
        <f>IF(C131="","回答を選択すると解説が表示されます","正解はBです。
パブリッククラウド（AWS・Azureなど）は複数の顧客がリソースを共有します。
プライベートクラウドは自社専用でセキュリティや制御性が高いです。
ハイブリッドクラウドはその両方を組み合わせたものです。")</f>
        <v>回答を選択すると解説が表示されます</v>
      </c>
      <c r="D133" s="1"/>
    </row>
    <row r="134" ht="15.75" customHeight="1">
      <c r="A134" s="1"/>
      <c r="B134" s="1"/>
      <c r="C134" s="1"/>
      <c r="D134" s="1"/>
    </row>
    <row r="135" ht="27.75" customHeight="1">
      <c r="A135" s="1"/>
      <c r="B135" s="8" t="s">
        <v>93</v>
      </c>
      <c r="C135" s="7"/>
      <c r="D135" s="1"/>
    </row>
    <row r="136" ht="57.75" customHeight="1">
      <c r="A136" s="1"/>
      <c r="B136" s="9" t="s">
        <v>336</v>
      </c>
      <c r="C136" s="7"/>
      <c r="D136" s="1"/>
    </row>
    <row r="137" ht="33.75" customHeight="1">
      <c r="A137" s="1"/>
      <c r="B137" s="10" t="s">
        <v>5</v>
      </c>
      <c r="C137" s="11" t="s">
        <v>337</v>
      </c>
      <c r="D137" s="1"/>
    </row>
    <row r="138" ht="33.75" customHeight="1">
      <c r="A138" s="1"/>
      <c r="B138" s="10" t="s">
        <v>7</v>
      </c>
      <c r="C138" s="11" t="s">
        <v>338</v>
      </c>
      <c r="D138" s="1"/>
    </row>
    <row r="139" ht="33.75" customHeight="1">
      <c r="A139" s="1"/>
      <c r="B139" s="10" t="s">
        <v>9</v>
      </c>
      <c r="C139" s="11" t="s">
        <v>339</v>
      </c>
      <c r="D139" s="1"/>
    </row>
    <row r="140" ht="33.75" customHeight="1">
      <c r="A140" s="1"/>
      <c r="B140" s="10" t="s">
        <v>11</v>
      </c>
      <c r="C140" s="11" t="s">
        <v>340</v>
      </c>
      <c r="D140" s="1"/>
    </row>
    <row r="141" ht="42.0" customHeight="1">
      <c r="A141" s="1"/>
      <c r="B141" s="12" t="s">
        <v>13</v>
      </c>
      <c r="C141" s="13"/>
      <c r="D141" s="1"/>
    </row>
    <row r="142" ht="39.75" customHeight="1">
      <c r="A142" s="1"/>
      <c r="B142" s="14" t="s">
        <v>14</v>
      </c>
      <c r="C142" s="15" t="str">
        <f>IF(C141="","← A〜D を選択してください",IF(C141="B","✅ 正解！ 素晴らしいです！","❌ 不正解... 正解は B です！"))</f>
        <v>← A〜D を選択してください</v>
      </c>
      <c r="D142" s="1"/>
    </row>
    <row r="143" ht="139.5" customHeight="1">
      <c r="A143" s="1"/>
      <c r="B143" s="16" t="s">
        <v>15</v>
      </c>
      <c r="C143" s="17" t="str">
        <f>IF(C141="","回答を選択すると解説が表示されます","正解はBです。
TCPの3ウェイハンドシェイクは以下の手順で行われます。
① クライアントがSYNを送信
② サーバーがSYN-ACKを返信
③ クライアントがACKを送信
この3ステップでコネクションが確立されます。")</f>
        <v>回答を選択すると解説が表示されます</v>
      </c>
      <c r="D143" s="1"/>
    </row>
    <row r="144" ht="15.75" customHeight="1">
      <c r="A144" s="1"/>
      <c r="B144" s="1"/>
      <c r="C144" s="1"/>
      <c r="D144" s="1"/>
    </row>
    <row r="145" ht="27.75" customHeight="1">
      <c r="A145" s="1"/>
      <c r="B145" s="8" t="s">
        <v>94</v>
      </c>
      <c r="C145" s="7"/>
      <c r="D145" s="1"/>
    </row>
    <row r="146" ht="57.75" customHeight="1">
      <c r="A146" s="1"/>
      <c r="B146" s="9" t="s">
        <v>341</v>
      </c>
      <c r="C146" s="7"/>
      <c r="D146" s="1"/>
    </row>
    <row r="147" ht="33.75" customHeight="1">
      <c r="A147" s="1"/>
      <c r="B147" s="10" t="s">
        <v>5</v>
      </c>
      <c r="C147" s="11" t="s">
        <v>118</v>
      </c>
      <c r="D147" s="1"/>
    </row>
    <row r="148" ht="33.75" customHeight="1">
      <c r="A148" s="1"/>
      <c r="B148" s="10" t="s">
        <v>7</v>
      </c>
      <c r="C148" s="11" t="s">
        <v>119</v>
      </c>
      <c r="D148" s="1"/>
    </row>
    <row r="149" ht="33.75" customHeight="1">
      <c r="A149" s="1"/>
      <c r="B149" s="10" t="s">
        <v>9</v>
      </c>
      <c r="C149" s="11" t="s">
        <v>146</v>
      </c>
      <c r="D149" s="1"/>
    </row>
    <row r="150" ht="33.75" customHeight="1">
      <c r="A150" s="1"/>
      <c r="B150" s="10" t="s">
        <v>11</v>
      </c>
      <c r="C150" s="11" t="s">
        <v>121</v>
      </c>
      <c r="D150" s="1"/>
    </row>
    <row r="151" ht="42.0" customHeight="1">
      <c r="A151" s="1"/>
      <c r="B151" s="12" t="s">
        <v>13</v>
      </c>
      <c r="C151" s="13"/>
      <c r="D151" s="1"/>
    </row>
    <row r="152" ht="39.75" customHeight="1">
      <c r="A152" s="1"/>
      <c r="B152" s="14" t="s">
        <v>14</v>
      </c>
      <c r="C152" s="15" t="str">
        <f>IF(C151="","← A〜D を選択してください",IF(C151="C","✅ 正解！ 素晴らしいです！","❌ 不正解... 正解は C です！"))</f>
        <v>← A〜D を選択してください</v>
      </c>
      <c r="D152" s="1"/>
    </row>
    <row r="153" ht="79.5" customHeight="1">
      <c r="A153" s="1"/>
      <c r="B153" s="16" t="s">
        <v>15</v>
      </c>
      <c r="C153" s="17" t="str">
        <f>IF(C151="","回答を選択すると解説が表示されます","正解はCです。
HTTPはアプリケーション層（第7層）で動作するプロトコルです。
TCPはトランスポート層（第4層）、IPはネットワーク層（第3層）、EthernetはデータリンクLayerです。")</f>
        <v>回答を選択すると解説が表示されます</v>
      </c>
      <c r="D153" s="1"/>
    </row>
    <row r="154" ht="15.75" customHeight="1">
      <c r="A154" s="1"/>
      <c r="B154" s="1"/>
      <c r="C154" s="1"/>
      <c r="D154" s="1"/>
    </row>
    <row r="155" ht="27.75" customHeight="1">
      <c r="A155" s="1"/>
      <c r="B155" s="8" t="s">
        <v>95</v>
      </c>
      <c r="C155" s="7"/>
      <c r="D155" s="1"/>
    </row>
    <row r="156" ht="57.75" customHeight="1">
      <c r="A156" s="1"/>
      <c r="B156" s="9" t="s">
        <v>342</v>
      </c>
      <c r="C156" s="7"/>
      <c r="D156" s="1"/>
    </row>
    <row r="157" ht="33.75" customHeight="1">
      <c r="A157" s="1"/>
      <c r="B157" s="10" t="s">
        <v>5</v>
      </c>
      <c r="C157" s="21" t="s">
        <v>297</v>
      </c>
      <c r="D157" s="1"/>
    </row>
    <row r="158" ht="33.75" customHeight="1">
      <c r="A158" s="1"/>
      <c r="B158" s="10" t="s">
        <v>7</v>
      </c>
      <c r="C158" s="21" t="s">
        <v>298</v>
      </c>
      <c r="D158" s="1"/>
    </row>
    <row r="159" ht="33.75" customHeight="1">
      <c r="A159" s="1"/>
      <c r="B159" s="10" t="s">
        <v>9</v>
      </c>
      <c r="C159" s="21" t="s">
        <v>299</v>
      </c>
      <c r="D159" s="1"/>
    </row>
    <row r="160" ht="33.75" customHeight="1">
      <c r="A160" s="1"/>
      <c r="B160" s="10" t="s">
        <v>11</v>
      </c>
      <c r="C160" s="21" t="s">
        <v>343</v>
      </c>
      <c r="D160" s="1"/>
    </row>
    <row r="161" ht="42.0" customHeight="1">
      <c r="A161" s="1"/>
      <c r="B161" s="12" t="s">
        <v>13</v>
      </c>
      <c r="C161" s="13"/>
      <c r="D161" s="1"/>
    </row>
    <row r="162" ht="39.75" customHeight="1">
      <c r="A162" s="1"/>
      <c r="B162" s="14" t="s">
        <v>14</v>
      </c>
      <c r="C162" s="15" t="str">
        <f>IF(C161="","← A〜D を選択してください",IF(C161="C","✅ 正解！ 素晴らしいです！","❌ 不正解... 正解は C です！"))</f>
        <v>← A〜D を選択してください</v>
      </c>
      <c r="D162" s="1"/>
    </row>
    <row r="163" ht="79.5" customHeight="1">
      <c r="A163" s="1"/>
      <c r="B163" s="16" t="s">
        <v>15</v>
      </c>
      <c r="C163" s="17" t="str">
        <f>IF(C161="","回答を選択すると解説が表示されます","正解はCです。
トランスポート層（第4層）はポート番号を使ったエンドツーエンドの通信、フロー制御、エラー回復を担当します。
TCPとUDPがこの層のプロトコルです。")</f>
        <v>回答を選択すると解説が表示されます</v>
      </c>
      <c r="D163" s="1"/>
    </row>
    <row r="164" ht="15.75" customHeight="1">
      <c r="A164" s="1"/>
      <c r="B164" s="1"/>
      <c r="C164" s="1"/>
      <c r="D164" s="1"/>
    </row>
    <row r="165" ht="27.75" customHeight="1">
      <c r="A165" s="1"/>
      <c r="B165" s="8" t="s">
        <v>101</v>
      </c>
      <c r="C165" s="7"/>
      <c r="D165" s="1"/>
    </row>
    <row r="166" ht="57.75" customHeight="1">
      <c r="A166" s="1"/>
      <c r="B166" s="9" t="s">
        <v>344</v>
      </c>
      <c r="C166" s="7"/>
      <c r="D166" s="1"/>
    </row>
    <row r="167" ht="33.75" customHeight="1">
      <c r="A167" s="1"/>
      <c r="B167" s="10" t="s">
        <v>5</v>
      </c>
      <c r="C167" s="21" t="s">
        <v>345</v>
      </c>
      <c r="D167" s="1"/>
    </row>
    <row r="168" ht="33.75" customHeight="1">
      <c r="A168" s="1"/>
      <c r="B168" s="10" t="s">
        <v>7</v>
      </c>
      <c r="C168" s="21" t="s">
        <v>346</v>
      </c>
      <c r="D168" s="1"/>
    </row>
    <row r="169" ht="33.75" customHeight="1">
      <c r="A169" s="1"/>
      <c r="B169" s="10" t="s">
        <v>9</v>
      </c>
      <c r="C169" s="21" t="s">
        <v>171</v>
      </c>
      <c r="D169" s="1"/>
    </row>
    <row r="170" ht="33.75" customHeight="1">
      <c r="A170" s="1"/>
      <c r="B170" s="10" t="s">
        <v>11</v>
      </c>
      <c r="C170" s="21" t="s">
        <v>347</v>
      </c>
      <c r="D170" s="1"/>
    </row>
    <row r="171" ht="42.0" customHeight="1">
      <c r="A171" s="1"/>
      <c r="B171" s="12" t="s">
        <v>13</v>
      </c>
      <c r="C171" s="13"/>
      <c r="D171" s="1"/>
    </row>
    <row r="172" ht="39.75" customHeight="1">
      <c r="A172" s="1"/>
      <c r="B172" s="14" t="s">
        <v>14</v>
      </c>
      <c r="C172" s="15" t="str">
        <f>IF(C171="","← A〜D を選択してください",IF(C171="B","✅ 正解！ 素晴らしいです！","❌ 不正解... 正解は B です！"))</f>
        <v>← A〜D を選択してください</v>
      </c>
      <c r="D172" s="1"/>
    </row>
    <row r="173" ht="99.75" customHeight="1">
      <c r="A173" s="1"/>
      <c r="B173" s="16" t="s">
        <v>15</v>
      </c>
      <c r="C173" s="17" t="str">
        <f>IF(C171="","回答を選択すると解説が表示されます","正解はBです。
iPerfはネットワークの帯域幅（スループット）を実測するためのツールです。
サーバー側とクライアント側で動作させ、実際に出ている速度を計測します。
スピードテストと異なり、細かい設定が可能です。")</f>
        <v>回答を選択すると解説が表示されます</v>
      </c>
      <c r="D173" s="1"/>
    </row>
    <row r="174" ht="15.75" customHeight="1">
      <c r="A174" s="1"/>
      <c r="B174" s="1"/>
      <c r="C174" s="1"/>
      <c r="D174" s="1"/>
    </row>
    <row r="175" ht="27.75" customHeight="1">
      <c r="A175" s="1"/>
      <c r="B175" s="8" t="s">
        <v>107</v>
      </c>
      <c r="C175" s="7"/>
      <c r="D175" s="1"/>
    </row>
    <row r="176" ht="57.75" customHeight="1">
      <c r="A176" s="1"/>
      <c r="B176" s="20" t="s">
        <v>348</v>
      </c>
      <c r="C176" s="7"/>
      <c r="D176" s="1"/>
    </row>
    <row r="177" ht="33.75" customHeight="1">
      <c r="A177" s="1"/>
      <c r="B177" s="10" t="s">
        <v>5</v>
      </c>
      <c r="C177" s="21" t="s">
        <v>349</v>
      </c>
      <c r="D177" s="1"/>
    </row>
    <row r="178" ht="33.75" customHeight="1">
      <c r="A178" s="1"/>
      <c r="B178" s="10" t="s">
        <v>7</v>
      </c>
      <c r="C178" s="21" t="s">
        <v>350</v>
      </c>
      <c r="D178" s="1"/>
    </row>
    <row r="179" ht="33.75" customHeight="1">
      <c r="A179" s="1"/>
      <c r="B179" s="10" t="s">
        <v>9</v>
      </c>
      <c r="C179" s="21" t="s">
        <v>351</v>
      </c>
      <c r="D179" s="1"/>
    </row>
    <row r="180" ht="33.75" customHeight="1">
      <c r="A180" s="1"/>
      <c r="B180" s="10" t="s">
        <v>11</v>
      </c>
      <c r="C180" s="21" t="s">
        <v>352</v>
      </c>
      <c r="D180" s="1"/>
    </row>
    <row r="181" ht="42.0" customHeight="1">
      <c r="A181" s="1"/>
      <c r="B181" s="12" t="s">
        <v>13</v>
      </c>
      <c r="C181" s="13"/>
      <c r="D181" s="1"/>
    </row>
    <row r="182" ht="39.75" customHeight="1">
      <c r="A182" s="1"/>
      <c r="B182" s="14" t="s">
        <v>14</v>
      </c>
      <c r="C182" s="15" t="str">
        <f>IF(C181="","← A〜D を選択してください",IF(C181="C","✅ 正解！ 素晴らしいです！","❌ 不正解... 正解は C です！"))</f>
        <v>← A〜D を選択してください</v>
      </c>
      <c r="D182" s="1"/>
    </row>
    <row r="183" ht="79.5" customHeight="1">
      <c r="A183" s="1"/>
      <c r="B183" s="16" t="s">
        <v>15</v>
      </c>
      <c r="C183" s="17" t="str">
        <f>IF(C181="","回答を選択すると解説が表示されます","正解はCです。
メッシュ型は各デバイスが他の全デバイスと直接接続されるトポロジーで、冗長性が非常に高いです。
1本のリンクが切断されても別の経路で通信できます。インターネットのコア部分はメッシュ型に近い構成です。")</f>
        <v>回答を選択すると解説が表示されます</v>
      </c>
      <c r="D183" s="1"/>
    </row>
    <row r="184" ht="15.75" customHeight="1">
      <c r="A184" s="1"/>
      <c r="B184" s="1"/>
      <c r="C184" s="1"/>
      <c r="D184" s="1"/>
    </row>
    <row r="185" ht="27.75" customHeight="1">
      <c r="A185" s="1"/>
      <c r="B185" s="8" t="s">
        <v>109</v>
      </c>
      <c r="C185" s="7"/>
      <c r="D185" s="1"/>
    </row>
    <row r="186" ht="57.75" customHeight="1">
      <c r="A186" s="1"/>
      <c r="B186" s="20" t="s">
        <v>353</v>
      </c>
      <c r="C186" s="7"/>
      <c r="D186" s="1"/>
    </row>
    <row r="187" ht="33.75" customHeight="1">
      <c r="A187" s="1"/>
      <c r="B187" s="10" t="s">
        <v>5</v>
      </c>
      <c r="C187" s="21" t="s">
        <v>354</v>
      </c>
      <c r="D187" s="1"/>
    </row>
    <row r="188" ht="33.75" customHeight="1">
      <c r="A188" s="1"/>
      <c r="B188" s="10" t="s">
        <v>7</v>
      </c>
      <c r="C188" s="21" t="s">
        <v>355</v>
      </c>
      <c r="D188" s="1"/>
    </row>
    <row r="189" ht="33.75" customHeight="1">
      <c r="A189" s="1"/>
      <c r="B189" s="10" t="s">
        <v>9</v>
      </c>
      <c r="C189" s="21" t="s">
        <v>356</v>
      </c>
      <c r="D189" s="1"/>
    </row>
    <row r="190" ht="33.75" customHeight="1">
      <c r="A190" s="1"/>
      <c r="B190" s="10" t="s">
        <v>11</v>
      </c>
      <c r="C190" s="21" t="s">
        <v>357</v>
      </c>
      <c r="D190" s="1"/>
    </row>
    <row r="191" ht="42.0" customHeight="1">
      <c r="A191" s="1"/>
      <c r="B191" s="12" t="s">
        <v>13</v>
      </c>
      <c r="C191" s="13"/>
      <c r="D191" s="1"/>
    </row>
    <row r="192" ht="39.75" customHeight="1">
      <c r="A192" s="1"/>
      <c r="B192" s="14" t="s">
        <v>14</v>
      </c>
      <c r="C192" s="15" t="str">
        <f>IF(C191="","← A〜D を選択してください",IF(C191="B","✅ 正解！ 素晴らしいです！","❌ 不正解... 正解は B です！"))</f>
        <v>← A〜D を選択してください</v>
      </c>
      <c r="D192" s="1"/>
    </row>
    <row r="193" ht="99.75" customHeight="1">
      <c r="A193" s="1"/>
      <c r="B193" s="16" t="s">
        <v>15</v>
      </c>
      <c r="C193" s="17" t="str">
        <f>IF(C191="","回答を選択すると解説が表示されます","正解はBです。
論理的トポロジーはデータが実際にどのように流れるかを示します。
物理的にスター型でも、論理的にはバス型として動作する場合があります。
物理と論理は別々に考えることが重要です。")</f>
        <v>回答を選択すると解説が表示されます</v>
      </c>
      <c r="D193" s="1"/>
    </row>
    <row r="194" ht="15.75" customHeight="1">
      <c r="A194" s="1"/>
      <c r="B194" s="1"/>
      <c r="C194" s="1"/>
      <c r="D194" s="1"/>
    </row>
    <row r="195" ht="27.75" customHeight="1">
      <c r="A195" s="1"/>
      <c r="B195" s="8" t="s">
        <v>115</v>
      </c>
      <c r="C195" s="7"/>
      <c r="D195" s="1"/>
    </row>
    <row r="196" ht="57.75" customHeight="1">
      <c r="A196" s="1"/>
      <c r="B196" s="20" t="s">
        <v>358</v>
      </c>
      <c r="C196" s="7"/>
      <c r="D196" s="1"/>
    </row>
    <row r="197" ht="33.75" customHeight="1">
      <c r="A197" s="1"/>
      <c r="B197" s="10" t="s">
        <v>5</v>
      </c>
      <c r="C197" s="11" t="s">
        <v>359</v>
      </c>
      <c r="D197" s="1"/>
    </row>
    <row r="198" ht="33.75" customHeight="1">
      <c r="A198" s="1"/>
      <c r="B198" s="10" t="s">
        <v>7</v>
      </c>
      <c r="C198" s="11" t="s">
        <v>360</v>
      </c>
      <c r="D198" s="1"/>
    </row>
    <row r="199" ht="33.75" customHeight="1">
      <c r="A199" s="1"/>
      <c r="B199" s="10" t="s">
        <v>9</v>
      </c>
      <c r="C199" s="11" t="s">
        <v>361</v>
      </c>
      <c r="D199" s="1"/>
    </row>
    <row r="200" ht="33.75" customHeight="1">
      <c r="A200" s="1"/>
      <c r="B200" s="10" t="s">
        <v>11</v>
      </c>
      <c r="C200" s="11" t="s">
        <v>362</v>
      </c>
      <c r="D200" s="1"/>
    </row>
    <row r="201" ht="42.0" customHeight="1">
      <c r="A201" s="1"/>
      <c r="B201" s="12" t="s">
        <v>13</v>
      </c>
      <c r="C201" s="13"/>
      <c r="D201" s="1"/>
    </row>
    <row r="202" ht="39.75" customHeight="1">
      <c r="A202" s="1"/>
      <c r="B202" s="14" t="s">
        <v>14</v>
      </c>
      <c r="C202" s="15" t="str">
        <f>IF(C201="","← A〜D を選択してください",IF(C201="B","✅ 正解！ 素晴らしいです！","❌ 不正解... 正解は B です！"))</f>
        <v>← A〜D を選択してください</v>
      </c>
      <c r="D202" s="1"/>
    </row>
    <row r="203" ht="79.5" customHeight="1">
      <c r="A203" s="1"/>
      <c r="B203" s="16" t="s">
        <v>15</v>
      </c>
      <c r="C203" s="17" t="str">
        <f>IF(C201="","回答を選択すると解説が表示されます","正解はBです。
VPN（Virtual Private Network）は公共のインターネット上に暗号化されたトンネルを作り、オフィス内にいるかのようにセキュアに接続できる技術です。
リモートワークに欠かせない技術です。")</f>
        <v>回答を選択すると解説が表示されます</v>
      </c>
      <c r="D203" s="1"/>
    </row>
    <row r="204" ht="15.75" customHeight="1">
      <c r="A204" s="1"/>
      <c r="B204" s="1"/>
      <c r="C204" s="1"/>
      <c r="D204" s="1"/>
    </row>
    <row r="205" ht="27.75" customHeight="1">
      <c r="A205" s="1"/>
      <c r="B205" s="8" t="s">
        <v>122</v>
      </c>
      <c r="C205" s="7"/>
      <c r="D205" s="1"/>
    </row>
    <row r="206" ht="57.75" customHeight="1">
      <c r="A206" s="1"/>
      <c r="B206" s="9" t="s">
        <v>363</v>
      </c>
      <c r="C206" s="7"/>
      <c r="D206" s="1"/>
    </row>
    <row r="207" ht="33.75" customHeight="1">
      <c r="A207" s="1"/>
      <c r="B207" s="10" t="s">
        <v>5</v>
      </c>
      <c r="C207" s="11" t="s">
        <v>364</v>
      </c>
      <c r="D207" s="1"/>
    </row>
    <row r="208" ht="33.75" customHeight="1">
      <c r="A208" s="1"/>
      <c r="B208" s="10" t="s">
        <v>7</v>
      </c>
      <c r="C208" s="11" t="s">
        <v>365</v>
      </c>
      <c r="D208" s="1"/>
    </row>
    <row r="209" ht="33.75" customHeight="1">
      <c r="A209" s="1"/>
      <c r="B209" s="10" t="s">
        <v>9</v>
      </c>
      <c r="C209" s="11" t="s">
        <v>366</v>
      </c>
      <c r="D209" s="1"/>
    </row>
    <row r="210" ht="33.75" customHeight="1">
      <c r="A210" s="1"/>
      <c r="B210" s="10" t="s">
        <v>11</v>
      </c>
      <c r="C210" s="11" t="s">
        <v>367</v>
      </c>
      <c r="D210" s="1"/>
    </row>
    <row r="211" ht="42.0" customHeight="1">
      <c r="A211" s="1"/>
      <c r="B211" s="12" t="s">
        <v>13</v>
      </c>
      <c r="C211" s="13"/>
      <c r="D211" s="1"/>
    </row>
    <row r="212" ht="39.75" customHeight="1">
      <c r="A212" s="1"/>
      <c r="B212" s="14" t="s">
        <v>14</v>
      </c>
      <c r="C212" s="15" t="str">
        <f>IF(C211="","← A〜D を選択してください",IF(C211="B","✅ 正解！ 素晴らしいです！","❌ 不正解... 正解は B です！"))</f>
        <v>← A〜D を選択してください</v>
      </c>
      <c r="D212" s="1"/>
    </row>
    <row r="213" ht="79.5" customHeight="1">
      <c r="A213" s="1"/>
      <c r="B213" s="16" t="s">
        <v>15</v>
      </c>
      <c r="C213" s="17" t="str">
        <f>IF(C211="","回答を選択すると解説が表示されます","正解はBです。
TCPはコネクション型（3ウェイハンドシェイク）で、順序保証・再送制御が可能な信頼性の高いプロトコルです。
UDPはコネクションレスで速度が高いですが信頼性は低いです。動画・ゲームはUDP、WebやメールはTCPが適しています。")</f>
        <v>回答を選択すると解説が表示されます</v>
      </c>
      <c r="D213" s="1"/>
    </row>
    <row r="214" ht="15.75" customHeight="1">
      <c r="A214" s="1"/>
      <c r="B214" s="1"/>
      <c r="C214" s="1"/>
      <c r="D214" s="1"/>
    </row>
    <row r="215" ht="27.75" customHeight="1">
      <c r="A215" s="1"/>
      <c r="B215" s="8" t="s">
        <v>128</v>
      </c>
      <c r="C215" s="7"/>
      <c r="D215" s="1"/>
    </row>
    <row r="216" ht="57.75" customHeight="1">
      <c r="A216" s="1"/>
      <c r="B216" s="20" t="s">
        <v>164</v>
      </c>
      <c r="C216" s="7"/>
      <c r="D216" s="1"/>
    </row>
    <row r="217" ht="33.75" customHeight="1">
      <c r="A217" s="1"/>
      <c r="B217" s="10" t="s">
        <v>5</v>
      </c>
      <c r="C217" s="11" t="s">
        <v>165</v>
      </c>
      <c r="D217" s="1"/>
    </row>
    <row r="218" ht="33.75" customHeight="1">
      <c r="A218" s="1"/>
      <c r="B218" s="10" t="s">
        <v>7</v>
      </c>
      <c r="C218" s="11" t="s">
        <v>166</v>
      </c>
      <c r="D218" s="1"/>
    </row>
    <row r="219" ht="33.75" customHeight="1">
      <c r="A219" s="1"/>
      <c r="B219" s="10" t="s">
        <v>9</v>
      </c>
      <c r="C219" s="11" t="s">
        <v>167</v>
      </c>
      <c r="D219" s="1"/>
    </row>
    <row r="220" ht="33.75" customHeight="1">
      <c r="A220" s="1"/>
      <c r="B220" s="10" t="s">
        <v>11</v>
      </c>
      <c r="C220" s="11" t="s">
        <v>168</v>
      </c>
      <c r="D220" s="1"/>
    </row>
    <row r="221" ht="42.0" customHeight="1">
      <c r="A221" s="1"/>
      <c r="B221" s="12" t="s">
        <v>13</v>
      </c>
      <c r="C221" s="13"/>
      <c r="D221" s="1"/>
    </row>
    <row r="222" ht="39.75" customHeight="1">
      <c r="A222" s="1"/>
      <c r="B222" s="14" t="s">
        <v>14</v>
      </c>
      <c r="C222" s="15" t="str">
        <f>IF(C221="","← A〜D を選択してください",IF(C221="C","✅ 正解！ 素晴らしいです！","❌ 不正解... 正解は C です！"))</f>
        <v>← A〜D を選択してください</v>
      </c>
      <c r="D222" s="1"/>
    </row>
    <row r="223" ht="79.5" customHeight="1">
      <c r="A223" s="1"/>
      <c r="B223" s="16" t="s">
        <v>15</v>
      </c>
      <c r="C223" s="17" t="str">
        <f>IF(C221="","回答を選択すると解説が表示されます","正解はCです。
HTTPSは443番ポートを使用します。
HTTP=80番、FTP=21番、SSH=22番です。443番 = HTTPS（暗号化された安全なWeb通信）と覚えましょう。")</f>
        <v>回答を選択すると解説が表示されます</v>
      </c>
      <c r="D223" s="1"/>
    </row>
    <row r="224" ht="15.75" customHeight="1">
      <c r="A224" s="1"/>
      <c r="B224" s="1"/>
      <c r="C224" s="1"/>
      <c r="D224" s="1"/>
    </row>
    <row r="225" ht="27.75" customHeight="1">
      <c r="A225" s="1"/>
      <c r="B225" s="8" t="s">
        <v>134</v>
      </c>
      <c r="C225" s="7"/>
      <c r="D225" s="1"/>
    </row>
    <row r="226" ht="57.75" customHeight="1">
      <c r="A226" s="1"/>
      <c r="B226" s="9" t="s">
        <v>238</v>
      </c>
      <c r="C226" s="7"/>
      <c r="D226" s="1"/>
    </row>
    <row r="227" ht="33.75" customHeight="1">
      <c r="A227" s="1"/>
      <c r="B227" s="10" t="s">
        <v>5</v>
      </c>
      <c r="C227" s="11" t="s">
        <v>239</v>
      </c>
      <c r="D227" s="1"/>
    </row>
    <row r="228" ht="33.75" customHeight="1">
      <c r="A228" s="1"/>
      <c r="B228" s="10" t="s">
        <v>7</v>
      </c>
      <c r="C228" s="11" t="s">
        <v>165</v>
      </c>
      <c r="D228" s="1"/>
    </row>
    <row r="229" ht="33.75" customHeight="1">
      <c r="A229" s="1"/>
      <c r="B229" s="10" t="s">
        <v>9</v>
      </c>
      <c r="C229" s="11" t="s">
        <v>167</v>
      </c>
      <c r="D229" s="1"/>
    </row>
    <row r="230" ht="33.75" customHeight="1">
      <c r="A230" s="1"/>
      <c r="B230" s="10" t="s">
        <v>11</v>
      </c>
      <c r="C230" s="11" t="s">
        <v>240</v>
      </c>
      <c r="D230" s="1"/>
    </row>
    <row r="231" ht="42.0" customHeight="1">
      <c r="A231" s="1"/>
      <c r="B231" s="12" t="s">
        <v>13</v>
      </c>
      <c r="C231" s="13"/>
      <c r="D231" s="1"/>
    </row>
    <row r="232" ht="39.75" customHeight="1">
      <c r="A232" s="1"/>
      <c r="B232" s="14" t="s">
        <v>14</v>
      </c>
      <c r="C232" s="15" t="str">
        <f>IF(C231="","← A〜D を選択してください",IF(C231="A","✅ 正解！ 素晴らしいです！","❌ 不正解... 正解は A です！"))</f>
        <v>← A〜D を選択してください</v>
      </c>
      <c r="D232" s="1"/>
    </row>
    <row r="233" ht="79.5" customHeight="1">
      <c r="A233" s="1"/>
      <c r="B233" s="16" t="s">
        <v>15</v>
      </c>
      <c r="C233" s="17" t="str">
        <f>IF(C231="","回答を選択すると解説が表示されます","正解はAです。
DNSは53番ポートを使用します。
HTTP=80番、HTTPS=443番、SMTP（メール）=25番です。DNS = 53番と必ず覚えましょう。")</f>
        <v>回答を選択すると解説が表示されます</v>
      </c>
      <c r="D233" s="1"/>
    </row>
    <row r="234" ht="15.75" customHeight="1">
      <c r="A234" s="1"/>
      <c r="B234" s="1"/>
      <c r="C234" s="1"/>
      <c r="D234" s="1"/>
    </row>
    <row r="235" ht="27.75" customHeight="1">
      <c r="A235" s="1"/>
      <c r="B235" s="8" t="s">
        <v>141</v>
      </c>
      <c r="C235" s="7"/>
      <c r="D235" s="1"/>
    </row>
    <row r="236" ht="57.75" customHeight="1">
      <c r="A236" s="1"/>
      <c r="B236" s="9" t="s">
        <v>368</v>
      </c>
      <c r="C236" s="7"/>
      <c r="D236" s="1"/>
    </row>
    <row r="237" ht="33.75" customHeight="1">
      <c r="A237" s="1"/>
      <c r="B237" s="10" t="s">
        <v>5</v>
      </c>
      <c r="C237" s="21" t="s">
        <v>369</v>
      </c>
      <c r="D237" s="1"/>
    </row>
    <row r="238" ht="33.75" customHeight="1">
      <c r="A238" s="1"/>
      <c r="B238" s="10" t="s">
        <v>7</v>
      </c>
      <c r="C238" s="21" t="s">
        <v>370</v>
      </c>
      <c r="D238" s="1"/>
    </row>
    <row r="239" ht="33.75" customHeight="1">
      <c r="A239" s="1"/>
      <c r="B239" s="10" t="s">
        <v>9</v>
      </c>
      <c r="C239" s="11" t="s">
        <v>371</v>
      </c>
      <c r="D239" s="1"/>
    </row>
    <row r="240" ht="33.75" customHeight="1">
      <c r="A240" s="1"/>
      <c r="B240" s="10" t="s">
        <v>11</v>
      </c>
      <c r="C240" s="21" t="s">
        <v>372</v>
      </c>
      <c r="D240" s="1"/>
    </row>
    <row r="241" ht="42.0" customHeight="1">
      <c r="A241" s="1"/>
      <c r="B241" s="12" t="s">
        <v>13</v>
      </c>
      <c r="C241" s="13"/>
      <c r="D241" s="1"/>
    </row>
    <row r="242" ht="39.75" customHeight="1">
      <c r="A242" s="1"/>
      <c r="B242" s="14" t="s">
        <v>14</v>
      </c>
      <c r="C242" s="15" t="str">
        <f>IF(C241="","← A〜D を選択してください",IF(C241="B","✅ 正解！ 素晴らしいです！","❌ 不正解... 正解は B です！"))</f>
        <v>← A〜D を選択してください</v>
      </c>
      <c r="D242" s="1"/>
    </row>
    <row r="243" ht="79.5" customHeight="1">
      <c r="A243" s="1"/>
      <c r="B243" s="16" t="s">
        <v>15</v>
      </c>
      <c r="C243" s="17" t="str">
        <f>IF(C241="","回答を選択すると解説が表示されます","正解はBです。
ICMPはネットワーク診断に使用されるプロトコルです。
pingコマンドはICMPを使用して疎通確認を行います。tracertもICMPを利用します。")</f>
        <v>回答を選択すると解説が表示されます</v>
      </c>
      <c r="D243" s="1"/>
    </row>
    <row r="244" ht="15.75" customHeight="1">
      <c r="A244" s="1"/>
      <c r="B244" s="1"/>
      <c r="C244" s="1"/>
      <c r="D244" s="1"/>
    </row>
    <row r="245" ht="27.75" customHeight="1">
      <c r="A245" s="1"/>
      <c r="B245" s="8" t="s">
        <v>147</v>
      </c>
      <c r="C245" s="7"/>
      <c r="D245" s="1"/>
    </row>
    <row r="246" ht="57.75" customHeight="1">
      <c r="A246" s="1"/>
      <c r="B246" s="9" t="s">
        <v>373</v>
      </c>
      <c r="C246" s="7"/>
      <c r="D246" s="1"/>
    </row>
    <row r="247" ht="33.75" customHeight="1">
      <c r="A247" s="1"/>
      <c r="B247" s="10" t="s">
        <v>5</v>
      </c>
      <c r="C247" s="11" t="s">
        <v>374</v>
      </c>
      <c r="D247" s="1"/>
    </row>
    <row r="248" ht="33.75" customHeight="1">
      <c r="A248" s="1"/>
      <c r="B248" s="10" t="s">
        <v>7</v>
      </c>
      <c r="C248" s="21" t="s">
        <v>375</v>
      </c>
      <c r="D248" s="1"/>
    </row>
    <row r="249" ht="33.75" customHeight="1">
      <c r="A249" s="1"/>
      <c r="B249" s="10" t="s">
        <v>9</v>
      </c>
      <c r="C249" s="11" t="s">
        <v>376</v>
      </c>
      <c r="D249" s="1"/>
    </row>
    <row r="250" ht="33.75" customHeight="1">
      <c r="A250" s="1"/>
      <c r="B250" s="10" t="s">
        <v>11</v>
      </c>
      <c r="C250" s="11" t="s">
        <v>377</v>
      </c>
      <c r="D250" s="1"/>
    </row>
    <row r="251" ht="42.0" customHeight="1">
      <c r="A251" s="1"/>
      <c r="B251" s="12" t="s">
        <v>13</v>
      </c>
      <c r="C251" s="13"/>
      <c r="D251" s="1"/>
    </row>
    <row r="252" ht="39.75" customHeight="1">
      <c r="A252" s="1"/>
      <c r="B252" s="14" t="s">
        <v>14</v>
      </c>
      <c r="C252" s="15" t="str">
        <f>IF(C251="","← A〜D を選択してください",IF(C251="B","✅ 正解！ 素晴らしいです！","❌ 不正解... 正解は B です！"))</f>
        <v>← A〜D を選択してください</v>
      </c>
      <c r="D252" s="1"/>
    </row>
    <row r="253" ht="79.5" customHeight="1">
      <c r="A253" s="1"/>
      <c r="B253" s="16" t="s">
        <v>15</v>
      </c>
      <c r="C253" s="17" t="str">
        <f>IF(C251="","回答を選択すると解説が表示されます","正解はBです。
TFTPは認証なしのシンプルなファイル転送プロトコルです。
ネットワーク機器のOSイメージ転送やブートに使用されることが多いです。SFTPとは異なり暗号化はありません。")</f>
        <v>回答を選択すると解説が表示されます</v>
      </c>
      <c r="D253" s="1"/>
    </row>
    <row r="254" ht="15.75" customHeight="1">
      <c r="A254" s="1"/>
      <c r="B254" s="1"/>
      <c r="C254" s="1"/>
      <c r="D254" s="1"/>
    </row>
    <row r="255" ht="27.75" customHeight="1">
      <c r="A255" s="1"/>
      <c r="B255" s="8" t="s">
        <v>153</v>
      </c>
      <c r="C255" s="7"/>
      <c r="D255" s="1"/>
    </row>
    <row r="256" ht="57.75" customHeight="1">
      <c r="A256" s="1"/>
      <c r="B256" s="9" t="s">
        <v>378</v>
      </c>
      <c r="C256" s="7"/>
      <c r="D256" s="1"/>
    </row>
    <row r="257" ht="33.75" customHeight="1">
      <c r="A257" s="1"/>
      <c r="B257" s="10" t="s">
        <v>5</v>
      </c>
      <c r="C257" s="21" t="s">
        <v>379</v>
      </c>
      <c r="D257" s="1"/>
    </row>
    <row r="258" ht="33.75" customHeight="1">
      <c r="A258" s="1"/>
      <c r="B258" s="10" t="s">
        <v>7</v>
      </c>
      <c r="C258" s="21" t="s">
        <v>380</v>
      </c>
      <c r="D258" s="1"/>
    </row>
    <row r="259" ht="33.75" customHeight="1">
      <c r="A259" s="1"/>
      <c r="B259" s="10" t="s">
        <v>9</v>
      </c>
      <c r="C259" s="21" t="s">
        <v>171</v>
      </c>
      <c r="D259" s="1"/>
    </row>
    <row r="260" ht="33.75" customHeight="1">
      <c r="A260" s="1"/>
      <c r="B260" s="10" t="s">
        <v>11</v>
      </c>
      <c r="C260" s="21" t="s">
        <v>381</v>
      </c>
      <c r="D260" s="1"/>
    </row>
    <row r="261" ht="42.0" customHeight="1">
      <c r="A261" s="1"/>
      <c r="B261" s="12" t="s">
        <v>13</v>
      </c>
      <c r="C261" s="13"/>
      <c r="D261" s="1"/>
    </row>
    <row r="262" ht="39.75" customHeight="1">
      <c r="A262" s="1"/>
      <c r="B262" s="14" t="s">
        <v>14</v>
      </c>
      <c r="C262" s="15" t="str">
        <f>IF(C261="","← A〜D を選択してください",IF(C261="B","✅ 正解！ 素晴らしいです！","❌ 不正解... 正解は B です！"))</f>
        <v>← A〜D を選択してください</v>
      </c>
      <c r="D262" s="1"/>
    </row>
    <row r="263" ht="79.5" customHeight="1">
      <c r="A263" s="1"/>
      <c r="B263" s="16" t="s">
        <v>15</v>
      </c>
      <c r="C263" s="17" t="str">
        <f>IF(C261="","回答を選択すると解説が表示されます","正解はBです。
NTP（Network Time Protocol）はネットワーク上の機器の時刻を同期するプロトコルです。
ログの時刻を正確に保つためにも重要です。ポート番号は123番です。")</f>
        <v>回答を選択すると解説が表示されます</v>
      </c>
      <c r="D263" s="1"/>
    </row>
    <row r="264" ht="15.75" customHeight="1">
      <c r="A264" s="1"/>
      <c r="B264" s="1"/>
      <c r="C264" s="1"/>
      <c r="D264" s="1"/>
    </row>
    <row r="265" ht="27.75" customHeight="1">
      <c r="A265" s="1"/>
      <c r="B265" s="8" t="s">
        <v>159</v>
      </c>
      <c r="C265" s="7"/>
      <c r="D265" s="1"/>
    </row>
    <row r="266" ht="57.75" customHeight="1">
      <c r="A266" s="1"/>
      <c r="B266" s="20" t="s">
        <v>142</v>
      </c>
      <c r="C266" s="7"/>
      <c r="D266" s="1"/>
    </row>
    <row r="267" ht="33.75" customHeight="1">
      <c r="A267" s="1"/>
      <c r="B267" s="10" t="s">
        <v>5</v>
      </c>
      <c r="C267" s="11" t="s">
        <v>120</v>
      </c>
      <c r="D267" s="1"/>
    </row>
    <row r="268" ht="33.75" customHeight="1">
      <c r="A268" s="1"/>
      <c r="B268" s="10" t="s">
        <v>7</v>
      </c>
      <c r="C268" s="11" t="s">
        <v>382</v>
      </c>
      <c r="D268" s="1"/>
    </row>
    <row r="269" ht="33.75" customHeight="1">
      <c r="A269" s="1"/>
      <c r="B269" s="10" t="s">
        <v>9</v>
      </c>
      <c r="C269" s="11" t="s">
        <v>143</v>
      </c>
      <c r="D269" s="1"/>
    </row>
    <row r="270" ht="33.75" customHeight="1">
      <c r="A270" s="1"/>
      <c r="B270" s="10" t="s">
        <v>11</v>
      </c>
      <c r="C270" s="11" t="s">
        <v>146</v>
      </c>
      <c r="D270" s="1"/>
    </row>
    <row r="271" ht="42.0" customHeight="1">
      <c r="A271" s="1"/>
      <c r="B271" s="12" t="s">
        <v>13</v>
      </c>
      <c r="C271" s="13"/>
      <c r="D271" s="1"/>
    </row>
    <row r="272" ht="39.75" customHeight="1">
      <c r="A272" s="1"/>
      <c r="B272" s="14" t="s">
        <v>14</v>
      </c>
      <c r="C272" s="15" t="str">
        <f>IF(C271="","← A〜D を選択してください",IF(C271="C","✅ 正解！ 素晴らしいです！","❌ 不正解... 正解は C です！"))</f>
        <v>← A〜D を選択してください</v>
      </c>
      <c r="D272" s="1"/>
    </row>
    <row r="273" ht="79.5" customHeight="1">
      <c r="A273" s="1"/>
      <c r="B273" s="16" t="s">
        <v>15</v>
      </c>
      <c r="C273" s="17" t="str">
        <f>IF(C271="","回答を選択すると解説が表示されます","正解はCです。
SFTP（Secure File Transfer Protocol）はSSHを使用した安全なファイル転送プロトコルです。
FTPは暗号化なし、TFTPは認証なし・超シンプル、HTTPはWebページ用です。安全なファイル転送 = SFTPです。")</f>
        <v>回答を選択すると解説が表示されます</v>
      </c>
      <c r="D273" s="1"/>
    </row>
    <row r="274" ht="15.75" customHeight="1">
      <c r="A274" s="1"/>
      <c r="B274" s="1"/>
      <c r="C274" s="1"/>
      <c r="D274" s="1"/>
    </row>
    <row r="275" ht="27.75" customHeight="1">
      <c r="A275" s="1"/>
      <c r="B275" s="8" t="s">
        <v>163</v>
      </c>
      <c r="C275" s="7"/>
      <c r="D275" s="1"/>
    </row>
    <row r="276" ht="57.75" customHeight="1">
      <c r="A276" s="1"/>
      <c r="B276" s="9" t="s">
        <v>383</v>
      </c>
      <c r="C276" s="7"/>
      <c r="D276" s="1"/>
    </row>
    <row r="277" ht="33.75" customHeight="1">
      <c r="A277" s="1"/>
      <c r="B277" s="10" t="s">
        <v>5</v>
      </c>
      <c r="C277" s="21" t="s">
        <v>171</v>
      </c>
      <c r="D277" s="1"/>
    </row>
    <row r="278" ht="33.75" customHeight="1">
      <c r="A278" s="1"/>
      <c r="B278" s="10" t="s">
        <v>7</v>
      </c>
      <c r="C278" s="21" t="s">
        <v>384</v>
      </c>
      <c r="D278" s="1"/>
    </row>
    <row r="279" ht="33.75" customHeight="1">
      <c r="A279" s="1"/>
      <c r="B279" s="10" t="s">
        <v>9</v>
      </c>
      <c r="C279" s="21" t="s">
        <v>385</v>
      </c>
      <c r="D279" s="1"/>
    </row>
    <row r="280" ht="33.75" customHeight="1">
      <c r="A280" s="1"/>
      <c r="B280" s="10" t="s">
        <v>11</v>
      </c>
      <c r="C280" s="21" t="s">
        <v>386</v>
      </c>
      <c r="D280" s="1"/>
    </row>
    <row r="281" ht="42.0" customHeight="1">
      <c r="A281" s="1"/>
      <c r="B281" s="12" t="s">
        <v>13</v>
      </c>
      <c r="C281" s="13"/>
      <c r="D281" s="1"/>
    </row>
    <row r="282" ht="39.75" customHeight="1">
      <c r="A282" s="1"/>
      <c r="B282" s="14" t="s">
        <v>14</v>
      </c>
      <c r="C282" s="15" t="str">
        <f>IF(C281="","← A〜D を選択してください",IF(C281="B","✅ 正解！ 素晴らしいです！","❌ 不正解... 正解は B です！"))</f>
        <v>← A〜D を選択してください</v>
      </c>
      <c r="D282" s="1"/>
    </row>
    <row r="283" ht="79.5" customHeight="1">
      <c r="A283" s="1"/>
      <c r="B283" s="16" t="s">
        <v>15</v>
      </c>
      <c r="C283" s="17" t="str">
        <f>IF(C281="","回答を選択すると解説が表示されます","正解はBです。
DHCPはクライアントにIPアドレス・サブネットマスク・デフォルトゲートウェイ・DNSサーバーを自動で割り当てるプロトコルです。
手動設定の手間を省ける便利なプロトコルです。")</f>
        <v>回答を選択すると解説が表示されます</v>
      </c>
      <c r="D283" s="1"/>
    </row>
    <row r="284" ht="15.75" customHeight="1">
      <c r="A284" s="1"/>
      <c r="B284" s="1"/>
      <c r="C284" s="1"/>
      <c r="D284" s="1"/>
    </row>
    <row r="285" ht="27.75" customHeight="1">
      <c r="A285" s="1"/>
      <c r="B285" s="8" t="s">
        <v>169</v>
      </c>
      <c r="C285" s="7"/>
      <c r="D285" s="1"/>
    </row>
    <row r="286" ht="57.75" customHeight="1">
      <c r="A286" s="1"/>
      <c r="B286" s="9" t="s">
        <v>387</v>
      </c>
      <c r="C286" s="7"/>
      <c r="D286" s="1"/>
    </row>
    <row r="287" ht="33.75" customHeight="1">
      <c r="A287" s="1"/>
      <c r="B287" s="10" t="s">
        <v>5</v>
      </c>
      <c r="C287" s="11" t="s">
        <v>388</v>
      </c>
      <c r="D287" s="1"/>
    </row>
    <row r="288" ht="33.75" customHeight="1">
      <c r="A288" s="1"/>
      <c r="B288" s="10" t="s">
        <v>7</v>
      </c>
      <c r="C288" s="11" t="s">
        <v>389</v>
      </c>
      <c r="D288" s="1"/>
    </row>
    <row r="289" ht="33.75" customHeight="1">
      <c r="A289" s="1"/>
      <c r="B289" s="10" t="s">
        <v>9</v>
      </c>
      <c r="C289" s="11" t="s">
        <v>390</v>
      </c>
      <c r="D289" s="1"/>
    </row>
    <row r="290" ht="33.75" customHeight="1">
      <c r="A290" s="1"/>
      <c r="B290" s="10" t="s">
        <v>11</v>
      </c>
      <c r="C290" s="11" t="s">
        <v>391</v>
      </c>
      <c r="D290" s="1"/>
    </row>
    <row r="291" ht="42.0" customHeight="1">
      <c r="A291" s="1"/>
      <c r="B291" s="12" t="s">
        <v>13</v>
      </c>
      <c r="C291" s="13"/>
      <c r="D291" s="1"/>
    </row>
    <row r="292" ht="39.75" customHeight="1">
      <c r="A292" s="1"/>
      <c r="B292" s="14" t="s">
        <v>14</v>
      </c>
      <c r="C292" s="15" t="str">
        <f>IF(C291="","← A〜D を選択してください",IF(C291="A","✅ 正解！ 素晴らしいです！","❌ 不正解... 正解は A です！"))</f>
        <v>← A〜D を選択してください</v>
      </c>
      <c r="D292" s="1"/>
    </row>
    <row r="293" ht="139.5" customHeight="1">
      <c r="A293" s="1"/>
      <c r="B293" s="16" t="s">
        <v>15</v>
      </c>
      <c r="C293" s="17" t="str">
        <f>IF(C291="","回答を選択すると解説が表示されます","正解はAです。
プライベートIPアドレスの3つの範囲は以下の通りです。
・10.0.0.0/8（クラスA）
・172.16.0.0～172.31.255.255/12（クラスB）
・192.168.0.0/16（クラスC）
これらはインターネット上では使用できない内部用アドレスです。")</f>
        <v>回答を選択すると解説が表示されます</v>
      </c>
      <c r="D293" s="1"/>
    </row>
    <row r="294" ht="15.75" customHeight="1">
      <c r="A294" s="1"/>
      <c r="B294" s="1"/>
      <c r="C294" s="1"/>
      <c r="D294" s="1"/>
    </row>
    <row r="295" ht="27.75" customHeight="1">
      <c r="A295" s="1"/>
      <c r="B295" s="8" t="s">
        <v>175</v>
      </c>
      <c r="C295" s="7"/>
      <c r="D295" s="1"/>
    </row>
    <row r="296" ht="57.75" customHeight="1">
      <c r="A296" s="1"/>
      <c r="B296" s="9" t="s">
        <v>37</v>
      </c>
      <c r="C296" s="7"/>
      <c r="D296" s="1"/>
    </row>
    <row r="297" ht="33.75" customHeight="1">
      <c r="A297" s="1"/>
      <c r="B297" s="10" t="s">
        <v>5</v>
      </c>
      <c r="C297" s="11" t="s">
        <v>392</v>
      </c>
      <c r="D297" s="1"/>
    </row>
    <row r="298" ht="33.75" customHeight="1">
      <c r="A298" s="1"/>
      <c r="B298" s="10" t="s">
        <v>7</v>
      </c>
      <c r="C298" s="11" t="s">
        <v>393</v>
      </c>
      <c r="D298" s="1"/>
    </row>
    <row r="299" ht="33.75" customHeight="1">
      <c r="A299" s="1"/>
      <c r="B299" s="10" t="s">
        <v>9</v>
      </c>
      <c r="C299" s="11" t="s">
        <v>394</v>
      </c>
      <c r="D299" s="1"/>
    </row>
    <row r="300" ht="33.75" customHeight="1">
      <c r="A300" s="1"/>
      <c r="B300" s="10" t="s">
        <v>11</v>
      </c>
      <c r="C300" s="11" t="s">
        <v>395</v>
      </c>
      <c r="D300" s="1"/>
    </row>
    <row r="301" ht="42.0" customHeight="1">
      <c r="A301" s="1"/>
      <c r="B301" s="12" t="s">
        <v>13</v>
      </c>
      <c r="C301" s="13"/>
      <c r="D301" s="1"/>
    </row>
    <row r="302" ht="39.75" customHeight="1">
      <c r="A302" s="1"/>
      <c r="B302" s="14" t="s">
        <v>14</v>
      </c>
      <c r="C302" s="15" t="str">
        <f>IF(C301="","← A〜D を選択してください",IF(C301="D","✅ 正解！ 素晴らしいです！","❌ 不正解... 正解は D です！"))</f>
        <v>← A〜D を選択してください</v>
      </c>
      <c r="D302" s="1"/>
    </row>
    <row r="303" ht="79.5" customHeight="1">
      <c r="A303" s="1"/>
      <c r="B303" s="16" t="s">
        <v>15</v>
      </c>
      <c r="C303" s="17" t="str">
        <f>IF(C301="","回答を選択すると解説が表示されます","正解はDです。
255.255.252.0を2進数に変換すると 11111111.11111111.11111100.00000000 となります。
1のビット数を数えると 8+8+6=22 → /22が正解です。255.252 = 6ビットと覚えましょう。")</f>
        <v>回答を選択すると解説が表示されます</v>
      </c>
      <c r="D303" s="1"/>
    </row>
    <row r="304" ht="15.75" customHeight="1">
      <c r="A304" s="1"/>
      <c r="B304" s="1"/>
      <c r="C304" s="1"/>
      <c r="D304" s="1"/>
    </row>
    <row r="305" ht="27.75" customHeight="1">
      <c r="A305" s="1"/>
      <c r="B305" s="8" t="s">
        <v>181</v>
      </c>
      <c r="C305" s="7"/>
      <c r="D305" s="1"/>
    </row>
    <row r="306" ht="57.75" customHeight="1">
      <c r="A306" s="1"/>
      <c r="B306" s="9" t="s">
        <v>193</v>
      </c>
      <c r="C306" s="7"/>
      <c r="D306" s="1"/>
    </row>
    <row r="307" ht="33.75" customHeight="1">
      <c r="A307" s="1"/>
      <c r="B307" s="10" t="s">
        <v>5</v>
      </c>
      <c r="C307" s="11" t="s">
        <v>194</v>
      </c>
      <c r="D307" s="1"/>
    </row>
    <row r="308" ht="33.75" customHeight="1">
      <c r="A308" s="1"/>
      <c r="B308" s="10" t="s">
        <v>7</v>
      </c>
      <c r="C308" s="11" t="s">
        <v>195</v>
      </c>
      <c r="D308" s="1"/>
    </row>
    <row r="309" ht="33.75" customHeight="1">
      <c r="A309" s="1"/>
      <c r="B309" s="10" t="s">
        <v>9</v>
      </c>
      <c r="C309" s="11" t="s">
        <v>196</v>
      </c>
      <c r="D309" s="1"/>
    </row>
    <row r="310" ht="33.75" customHeight="1">
      <c r="A310" s="1"/>
      <c r="B310" s="10" t="s">
        <v>11</v>
      </c>
      <c r="C310" s="11" t="s">
        <v>396</v>
      </c>
      <c r="D310" s="1"/>
    </row>
    <row r="311" ht="42.0" customHeight="1">
      <c r="A311" s="1"/>
      <c r="B311" s="12" t="s">
        <v>13</v>
      </c>
      <c r="C311" s="13"/>
      <c r="D311" s="1"/>
    </row>
    <row r="312" ht="39.75" customHeight="1">
      <c r="A312" s="1"/>
      <c r="B312" s="14" t="s">
        <v>14</v>
      </c>
      <c r="C312" s="15" t="str">
        <f>IF(C311="","← A〜D を選択してください",IF(C311="C","✅ 正解！ 素晴らしいです！","❌ 不正解... 正解は C です！"))</f>
        <v>← A〜D を選択してください</v>
      </c>
      <c r="D312" s="1"/>
    </row>
    <row r="313" ht="79.5" customHeight="1">
      <c r="A313" s="1"/>
      <c r="B313" s="16" t="s">
        <v>15</v>
      </c>
      <c r="C313" s="17" t="str">
        <f>IF(C311="","回答を選択すると解説が表示されます","正解はCです。
/24はホスト部が8ビットなので 2^8=256 個のアドレスがあります。
ネットワークアドレス（.0）とブロードキャストアドレス（.255）を除いた 256-2=254 個が使用可能なホスト数です。")</f>
        <v>回答を選択すると解説が表示されます</v>
      </c>
      <c r="D313" s="1"/>
    </row>
    <row r="314" ht="15.75" customHeight="1">
      <c r="A314" s="1"/>
      <c r="B314" s="1"/>
      <c r="C314" s="1"/>
      <c r="D314" s="1"/>
    </row>
    <row r="315" ht="27.75" customHeight="1">
      <c r="A315" s="1"/>
      <c r="B315" s="8" t="s">
        <v>186</v>
      </c>
      <c r="C315" s="7"/>
      <c r="D315" s="1"/>
    </row>
    <row r="316" ht="57.75" customHeight="1">
      <c r="A316" s="1"/>
      <c r="B316" s="9" t="s">
        <v>4</v>
      </c>
      <c r="C316" s="7"/>
      <c r="D316" s="1"/>
    </row>
    <row r="317" ht="33.75" customHeight="1">
      <c r="A317" s="1"/>
      <c r="B317" s="10" t="s">
        <v>5</v>
      </c>
      <c r="C317" s="11" t="s">
        <v>6</v>
      </c>
      <c r="D317" s="1"/>
    </row>
    <row r="318" ht="33.75" customHeight="1">
      <c r="A318" s="1"/>
      <c r="B318" s="10" t="s">
        <v>7</v>
      </c>
      <c r="C318" s="11" t="s">
        <v>8</v>
      </c>
      <c r="D318" s="1"/>
    </row>
    <row r="319" ht="33.75" customHeight="1">
      <c r="A319" s="1"/>
      <c r="B319" s="10" t="s">
        <v>9</v>
      </c>
      <c r="C319" s="11" t="s">
        <v>10</v>
      </c>
      <c r="D319" s="1"/>
    </row>
    <row r="320" ht="33.75" customHeight="1">
      <c r="A320" s="1"/>
      <c r="B320" s="10" t="s">
        <v>11</v>
      </c>
      <c r="C320" s="11" t="s">
        <v>12</v>
      </c>
      <c r="D320" s="1"/>
    </row>
    <row r="321" ht="42.0" customHeight="1">
      <c r="A321" s="1"/>
      <c r="B321" s="12" t="s">
        <v>13</v>
      </c>
      <c r="C321" s="13"/>
      <c r="D321" s="1"/>
    </row>
    <row r="322" ht="39.75" customHeight="1">
      <c r="A322" s="1"/>
      <c r="B322" s="14" t="s">
        <v>14</v>
      </c>
      <c r="C322" s="15" t="str">
        <f>IF(C321="","← A〜D を選択してください",IF(C321="D","✅ 正解！ 素晴らしいです！","❌ 不正解... 正解は D です！"))</f>
        <v>← A〜D を選択してください</v>
      </c>
      <c r="D322" s="1"/>
    </row>
    <row r="323" ht="79.5" customHeight="1">
      <c r="A323" s="1"/>
      <c r="B323" s="16" t="s">
        <v>15</v>
      </c>
      <c r="C323" s="17" t="str">
        <f>IF(C321="","回答を選択すると解説が表示されます","正解はDです。
先頭のゼロを省略し、連続するゼログループを :: で置き換えます。ただし :: は1箇所にしか使用できません。
→ 2001:db8:0:16::1b:2000:56 が正解です。")</f>
        <v>回答を選択すると解説が表示されます</v>
      </c>
      <c r="D323" s="1"/>
    </row>
    <row r="324" ht="15.75" customHeight="1">
      <c r="A324" s="1"/>
      <c r="B324" s="1"/>
      <c r="C324" s="1"/>
      <c r="D324" s="1"/>
    </row>
    <row r="325" ht="27.75" customHeight="1">
      <c r="A325" s="1"/>
      <c r="B325" s="8" t="s">
        <v>192</v>
      </c>
      <c r="C325" s="7"/>
      <c r="D325" s="1"/>
    </row>
    <row r="326" ht="57.75" customHeight="1">
      <c r="A326" s="1"/>
      <c r="B326" s="9" t="s">
        <v>223</v>
      </c>
      <c r="C326" s="7"/>
      <c r="D326" s="1"/>
    </row>
    <row r="327" ht="33.75" customHeight="1">
      <c r="A327" s="1"/>
      <c r="B327" s="10" t="s">
        <v>5</v>
      </c>
      <c r="C327" s="11" t="s">
        <v>224</v>
      </c>
      <c r="D327" s="1"/>
    </row>
    <row r="328" ht="33.75" customHeight="1">
      <c r="A328" s="1"/>
      <c r="B328" s="10" t="s">
        <v>7</v>
      </c>
      <c r="C328" s="11" t="s">
        <v>225</v>
      </c>
      <c r="D328" s="1"/>
    </row>
    <row r="329" ht="33.75" customHeight="1">
      <c r="A329" s="1"/>
      <c r="B329" s="10" t="s">
        <v>9</v>
      </c>
      <c r="C329" s="11" t="s">
        <v>226</v>
      </c>
      <c r="D329" s="1"/>
    </row>
    <row r="330" ht="33.75" customHeight="1">
      <c r="A330" s="1"/>
      <c r="B330" s="10" t="s">
        <v>11</v>
      </c>
      <c r="C330" s="11" t="s">
        <v>227</v>
      </c>
      <c r="D330" s="1"/>
    </row>
    <row r="331" ht="42.0" customHeight="1">
      <c r="A331" s="1"/>
      <c r="B331" s="12" t="s">
        <v>13</v>
      </c>
      <c r="C331" s="13"/>
      <c r="D331" s="1"/>
    </row>
    <row r="332" ht="39.75" customHeight="1">
      <c r="A332" s="1"/>
      <c r="B332" s="14" t="s">
        <v>14</v>
      </c>
      <c r="C332" s="15" t="str">
        <f>IF(C331="","← A〜D を選択してください",IF(C331="C","✅ 正解！ 素晴らしいです！","❌ 不正解... 正解は C です！"))</f>
        <v>← A〜D を選択してください</v>
      </c>
      <c r="D332" s="1"/>
    </row>
    <row r="333" ht="79.5" customHeight="1">
      <c r="A333" s="1"/>
      <c r="B333" s="16" t="s">
        <v>15</v>
      </c>
      <c r="C333" s="17" t="str">
        <f>IF(C331="","回答を選択すると解説が表示されます","正解はCです。
IPv6アドレスは128ビットで構成されています。
IPv4は32ビットでしたが、アドレス枯渇問題を解決するためIPv6では128ビットになりました。")</f>
        <v>回答を選択すると解説が表示されます</v>
      </c>
      <c r="D333" s="1"/>
    </row>
    <row r="334" ht="15.75" customHeight="1">
      <c r="A334" s="1"/>
      <c r="B334" s="1"/>
      <c r="C334" s="1"/>
      <c r="D334" s="1"/>
    </row>
    <row r="335" ht="27.75" customHeight="1">
      <c r="A335" s="1"/>
      <c r="B335" s="8" t="s">
        <v>198</v>
      </c>
      <c r="C335" s="7"/>
      <c r="D335" s="1"/>
    </row>
    <row r="336" ht="57.75" customHeight="1">
      <c r="A336" s="1"/>
      <c r="B336" s="9" t="s">
        <v>182</v>
      </c>
      <c r="C336" s="7"/>
      <c r="D336" s="1"/>
    </row>
    <row r="337" ht="33.75" customHeight="1">
      <c r="A337" s="1"/>
      <c r="B337" s="10" t="s">
        <v>5</v>
      </c>
      <c r="C337" s="21" t="s">
        <v>183</v>
      </c>
      <c r="D337" s="1"/>
    </row>
    <row r="338" ht="33.75" customHeight="1">
      <c r="A338" s="1"/>
      <c r="B338" s="10" t="s">
        <v>7</v>
      </c>
      <c r="C338" s="21" t="s">
        <v>184</v>
      </c>
      <c r="D338" s="1"/>
    </row>
    <row r="339" ht="33.75" customHeight="1">
      <c r="A339" s="1"/>
      <c r="B339" s="10" t="s">
        <v>9</v>
      </c>
      <c r="C339" s="11" t="s">
        <v>185</v>
      </c>
      <c r="D339" s="1"/>
    </row>
    <row r="340" ht="33.75" customHeight="1">
      <c r="A340" s="1"/>
      <c r="B340" s="10" t="s">
        <v>11</v>
      </c>
      <c r="C340" s="21" t="s">
        <v>171</v>
      </c>
      <c r="D340" s="1"/>
    </row>
    <row r="341" ht="42.0" customHeight="1">
      <c r="A341" s="1"/>
      <c r="B341" s="12" t="s">
        <v>13</v>
      </c>
      <c r="C341" s="13"/>
      <c r="D341" s="1"/>
    </row>
    <row r="342" ht="39.75" customHeight="1">
      <c r="A342" s="1"/>
      <c r="B342" s="14" t="s">
        <v>14</v>
      </c>
      <c r="C342" s="15" t="str">
        <f>IF(C341="","← A〜D を選択してください",IF(C341="B","✅ 正解！ 素晴らしいです！","❌ 不正解... 正解は B です！"))</f>
        <v>← A〜D を選択してください</v>
      </c>
      <c r="D342" s="1"/>
    </row>
    <row r="343" ht="79.5" customHeight="1">
      <c r="A343" s="1"/>
      <c r="B343" s="16" t="s">
        <v>15</v>
      </c>
      <c r="C343" s="17" t="str">
        <f>IF(C341="","回答を選択すると解説が表示されます","正解はBです。
NAT（Network Address Translation）はプライベートIPアドレス（192.168.x.xなど）をパブリックIPアドレスに変換し、複数のデバイスが1つのグローバルIPアドレスでインターネット接続できるようにします。
家庭用ルーターで使用されています。")</f>
        <v>回答を選択すると解説が表示されます</v>
      </c>
      <c r="D343" s="1"/>
    </row>
    <row r="344" ht="15.75" customHeight="1">
      <c r="A344" s="1"/>
      <c r="B344" s="1"/>
      <c r="C344" s="1"/>
      <c r="D344" s="1"/>
    </row>
    <row r="345" ht="27.75" customHeight="1">
      <c r="A345" s="1"/>
      <c r="B345" s="8" t="s">
        <v>204</v>
      </c>
      <c r="C345" s="7"/>
      <c r="D345" s="1"/>
    </row>
    <row r="346" ht="57.75" customHeight="1">
      <c r="A346" s="1"/>
      <c r="B346" s="9" t="s">
        <v>49</v>
      </c>
      <c r="C346" s="7"/>
      <c r="D346" s="1"/>
    </row>
    <row r="347" ht="33.75" customHeight="1">
      <c r="A347" s="1"/>
      <c r="B347" s="10" t="s">
        <v>5</v>
      </c>
      <c r="C347" s="21" t="s">
        <v>397</v>
      </c>
      <c r="D347" s="1"/>
    </row>
    <row r="348" ht="33.75" customHeight="1">
      <c r="A348" s="1"/>
      <c r="B348" s="10" t="s">
        <v>7</v>
      </c>
      <c r="C348" s="11" t="s">
        <v>51</v>
      </c>
      <c r="D348" s="1"/>
    </row>
    <row r="349" ht="33.75" customHeight="1">
      <c r="A349" s="1"/>
      <c r="B349" s="10" t="s">
        <v>9</v>
      </c>
      <c r="C349" s="11" t="s">
        <v>398</v>
      </c>
      <c r="D349" s="1"/>
    </row>
    <row r="350" ht="33.75" customHeight="1">
      <c r="A350" s="1"/>
      <c r="B350" s="10" t="s">
        <v>11</v>
      </c>
      <c r="C350" s="11" t="s">
        <v>53</v>
      </c>
      <c r="D350" s="1"/>
    </row>
    <row r="351" ht="42.0" customHeight="1">
      <c r="A351" s="1"/>
      <c r="B351" s="12" t="s">
        <v>13</v>
      </c>
      <c r="C351" s="13"/>
      <c r="D351" s="1"/>
    </row>
    <row r="352" ht="39.75" customHeight="1">
      <c r="A352" s="1"/>
      <c r="B352" s="14" t="s">
        <v>14</v>
      </c>
      <c r="C352" s="15" t="str">
        <f>IF(C351="","← A〜D を選択してください",IF(C351="D","✅ 正解！ 素晴らしいです！","❌ 不正解... 正解は D です！"))</f>
        <v>← A〜D を選択してください</v>
      </c>
      <c r="D352" s="1"/>
    </row>
    <row r="353" ht="79.5" customHeight="1">
      <c r="A353" s="1"/>
      <c r="B353" s="16" t="s">
        <v>15</v>
      </c>
      <c r="C353" s="17" t="str">
        <f>IF(C351="","回答を選択すると解説が表示されます","正解はDです。
1000BASE-TはGigabit Ethernet（ツイストペアケーブル）です。コネクターはRJ-45（8ピン）を使用します。
RJ-11は電話線、OS2 LCは光ファイバー用です。ネットワークケーブル = RJ-45と覚えましょう。")</f>
        <v>回答を選択すると解説が表示されます</v>
      </c>
      <c r="D353" s="1"/>
    </row>
    <row r="354" ht="15.75" customHeight="1">
      <c r="A354" s="1"/>
      <c r="B354" s="1"/>
      <c r="C354" s="1"/>
      <c r="D354" s="1"/>
    </row>
    <row r="355" ht="27.75" customHeight="1">
      <c r="A355" s="1"/>
      <c r="B355" s="8" t="s">
        <v>210</v>
      </c>
      <c r="C355" s="7"/>
      <c r="D355" s="1"/>
    </row>
    <row r="356" ht="57.75" customHeight="1">
      <c r="A356" s="1"/>
      <c r="B356" s="20" t="s">
        <v>399</v>
      </c>
      <c r="C356" s="7"/>
      <c r="D356" s="1"/>
    </row>
    <row r="357" ht="33.75" customHeight="1">
      <c r="A357" s="1"/>
      <c r="B357" s="10" t="s">
        <v>5</v>
      </c>
      <c r="C357" s="21" t="s">
        <v>400</v>
      </c>
      <c r="D357" s="1"/>
    </row>
    <row r="358" ht="33.75" customHeight="1">
      <c r="A358" s="1"/>
      <c r="B358" s="10" t="s">
        <v>7</v>
      </c>
      <c r="C358" s="21" t="s">
        <v>401</v>
      </c>
      <c r="D358" s="1"/>
    </row>
    <row r="359" ht="33.75" customHeight="1">
      <c r="A359" s="1"/>
      <c r="B359" s="10" t="s">
        <v>9</v>
      </c>
      <c r="C359" s="11" t="s">
        <v>402</v>
      </c>
      <c r="D359" s="1"/>
    </row>
    <row r="360" ht="33.75" customHeight="1">
      <c r="A360" s="1"/>
      <c r="B360" s="10" t="s">
        <v>11</v>
      </c>
      <c r="C360" s="11" t="s">
        <v>403</v>
      </c>
      <c r="D360" s="1"/>
    </row>
    <row r="361" ht="42.0" customHeight="1">
      <c r="A361" s="1"/>
      <c r="B361" s="12" t="s">
        <v>13</v>
      </c>
      <c r="C361" s="13"/>
      <c r="D361" s="1"/>
    </row>
    <row r="362" ht="39.75" customHeight="1">
      <c r="A362" s="1"/>
      <c r="B362" s="14" t="s">
        <v>14</v>
      </c>
      <c r="C362" s="15" t="str">
        <f>IF(C361="","← A〜D を選択してください",IF(C361="B","✅ 正解！ 素晴らしいです！","❌ 不正解... 正解は B です！"))</f>
        <v>← A〜D を選択してください</v>
      </c>
      <c r="D362" s="1"/>
    </row>
    <row r="363" ht="79.5" customHeight="1">
      <c r="A363" s="1"/>
      <c r="B363" s="16" t="s">
        <v>15</v>
      </c>
      <c r="C363" s="17" t="str">
        <f>IF(C361="","回答を選択すると解説が表示されます","正解はBです。
光ファイバーは光信号を使用するため電磁干渉（EMI）の影響を受けず、長距離でも信号劣化が少ないです。
データセンター間や建物間の接続に使用されます。コストは高いですが高性能です。")</f>
        <v>回答を選択すると解説が表示されます</v>
      </c>
      <c r="D363" s="1"/>
    </row>
    <row r="364" ht="15.75" customHeight="1">
      <c r="A364" s="1"/>
      <c r="B364" s="1"/>
      <c r="C364" s="1"/>
      <c r="D364" s="1"/>
    </row>
    <row r="365" ht="27.75" customHeight="1">
      <c r="A365" s="1"/>
      <c r="B365" s="8" t="s">
        <v>216</v>
      </c>
      <c r="C365" s="7"/>
      <c r="D365" s="1"/>
    </row>
    <row r="366" ht="57.75" customHeight="1">
      <c r="A366" s="1"/>
      <c r="B366" s="9" t="s">
        <v>404</v>
      </c>
      <c r="C366" s="7"/>
      <c r="D366" s="1"/>
    </row>
    <row r="367" ht="33.75" customHeight="1">
      <c r="A367" s="1"/>
      <c r="B367" s="10" t="s">
        <v>5</v>
      </c>
      <c r="C367" s="11" t="s">
        <v>405</v>
      </c>
      <c r="D367" s="1"/>
    </row>
    <row r="368" ht="33.75" customHeight="1">
      <c r="A368" s="1"/>
      <c r="B368" s="10" t="s">
        <v>7</v>
      </c>
      <c r="C368" s="11" t="s">
        <v>406</v>
      </c>
      <c r="D368" s="1"/>
    </row>
    <row r="369" ht="33.75" customHeight="1">
      <c r="A369" s="1"/>
      <c r="B369" s="10" t="s">
        <v>9</v>
      </c>
      <c r="C369" s="11" t="s">
        <v>407</v>
      </c>
      <c r="D369" s="1"/>
    </row>
    <row r="370" ht="33.75" customHeight="1">
      <c r="A370" s="1"/>
      <c r="B370" s="10" t="s">
        <v>11</v>
      </c>
      <c r="C370" s="11" t="s">
        <v>408</v>
      </c>
      <c r="D370" s="1"/>
    </row>
    <row r="371" ht="42.0" customHeight="1">
      <c r="A371" s="1"/>
      <c r="B371" s="12" t="s">
        <v>13</v>
      </c>
      <c r="C371" s="13"/>
      <c r="D371" s="1"/>
    </row>
    <row r="372" ht="39.75" customHeight="1">
      <c r="A372" s="1"/>
      <c r="B372" s="14" t="s">
        <v>14</v>
      </c>
      <c r="C372" s="15" t="str">
        <f>IF(C371="","← A〜D を選択してください",IF(C371="B","✅ 正解！ 素晴らしいです！","❌ 不正解... 正解は B です！"))</f>
        <v>← A〜D を選択してください</v>
      </c>
      <c r="D372" s="1"/>
    </row>
    <row r="373" ht="79.5" customHeight="1">
      <c r="A373" s="1"/>
      <c r="B373" s="16" t="s">
        <v>15</v>
      </c>
      <c r="C373" s="17" t="str">
        <f>IF(C371="","回答を選択すると解説が表示されます","正解はBです。
2.4GHzは障害物に強く通信距離が長いですが速度は遅め、5GHzは高速ですが距離が短いです。
2.4GHzは電子レンジやBluetoothからの干渉を受けやすいです。Wi-Fi 6（802.11ax）は6GHz帯も使用できます。")</f>
        <v>回答を選択すると解説が表示されます</v>
      </c>
      <c r="D373" s="1"/>
    </row>
    <row r="374" ht="15.75" customHeight="1">
      <c r="A374" s="1"/>
      <c r="B374" s="1"/>
      <c r="C374" s="1"/>
      <c r="D374" s="1"/>
    </row>
    <row r="375" ht="27.75" customHeight="1">
      <c r="A375" s="1"/>
      <c r="B375" s="8" t="s">
        <v>222</v>
      </c>
      <c r="C375" s="7"/>
      <c r="D375" s="1"/>
    </row>
    <row r="376" ht="57.75" customHeight="1">
      <c r="A376" s="1"/>
      <c r="B376" s="9" t="s">
        <v>205</v>
      </c>
      <c r="C376" s="7"/>
      <c r="D376" s="1"/>
    </row>
    <row r="377" ht="33.75" customHeight="1">
      <c r="A377" s="1"/>
      <c r="B377" s="10" t="s">
        <v>5</v>
      </c>
      <c r="C377" s="11" t="s">
        <v>206</v>
      </c>
      <c r="D377" s="1"/>
    </row>
    <row r="378" ht="33.75" customHeight="1">
      <c r="A378" s="1"/>
      <c r="B378" s="10" t="s">
        <v>7</v>
      </c>
      <c r="C378" s="11" t="s">
        <v>207</v>
      </c>
      <c r="D378" s="1"/>
    </row>
    <row r="379" ht="33.75" customHeight="1">
      <c r="A379" s="1"/>
      <c r="B379" s="10" t="s">
        <v>9</v>
      </c>
      <c r="C379" s="11" t="s">
        <v>208</v>
      </c>
      <c r="D379" s="1"/>
    </row>
    <row r="380" ht="33.75" customHeight="1">
      <c r="A380" s="1"/>
      <c r="B380" s="10" t="s">
        <v>11</v>
      </c>
      <c r="C380" s="21" t="s">
        <v>209</v>
      </c>
      <c r="D380" s="1"/>
    </row>
    <row r="381" ht="42.0" customHeight="1">
      <c r="A381" s="1"/>
      <c r="B381" s="12" t="s">
        <v>13</v>
      </c>
      <c r="C381" s="13"/>
      <c r="D381" s="1"/>
    </row>
    <row r="382" ht="39.75" customHeight="1">
      <c r="A382" s="1"/>
      <c r="B382" s="14" t="s">
        <v>14</v>
      </c>
      <c r="C382" s="15" t="str">
        <f>IF(C381="","← A〜D を選択してください",IF(C381="B","✅ 正解！ 素晴らしいです！","❌ 不正解... 正解は B です！"))</f>
        <v>← A〜D を選択してください</v>
      </c>
      <c r="D382" s="1"/>
    </row>
    <row r="383" ht="79.5" customHeight="1">
      <c r="A383" s="1"/>
      <c r="B383" s="16" t="s">
        <v>15</v>
      </c>
      <c r="C383" s="17" t="str">
        <f>IF(C381="","回答を選択すると解説が表示されます","正解はBです。
IEEE 802.3af/at はPoE（Power over Ethernet）の規格です。
イーサネットケーブルで電力も供給できる技術で、IPカメラ・VoIP電話・Wi-Fiアクセスポイントなどに活用されています。")</f>
        <v>回答を選択すると解説が表示されます</v>
      </c>
      <c r="D383" s="1"/>
    </row>
    <row r="384" ht="15.75" customHeight="1">
      <c r="A384" s="1"/>
      <c r="B384" s="1"/>
      <c r="C384" s="1"/>
      <c r="D384" s="1"/>
    </row>
    <row r="385" ht="27.75" customHeight="1">
      <c r="A385" s="1"/>
      <c r="B385" s="8" t="s">
        <v>228</v>
      </c>
      <c r="C385" s="7"/>
      <c r="D385" s="1"/>
    </row>
    <row r="386" ht="57.75" customHeight="1">
      <c r="A386" s="1"/>
      <c r="B386" s="9" t="s">
        <v>409</v>
      </c>
      <c r="C386" s="7"/>
      <c r="D386" s="1"/>
    </row>
    <row r="387" ht="33.75" customHeight="1">
      <c r="A387" s="1"/>
      <c r="B387" s="10" t="s">
        <v>5</v>
      </c>
      <c r="C387" s="11" t="s">
        <v>72</v>
      </c>
      <c r="D387" s="1"/>
    </row>
    <row r="388" ht="33.75" customHeight="1">
      <c r="A388" s="1"/>
      <c r="B388" s="10" t="s">
        <v>7</v>
      </c>
      <c r="C388" s="11" t="s">
        <v>253</v>
      </c>
      <c r="D388" s="1"/>
    </row>
    <row r="389" ht="33.75" customHeight="1">
      <c r="A389" s="1"/>
      <c r="B389" s="10" t="s">
        <v>9</v>
      </c>
      <c r="C389" s="11" t="s">
        <v>71</v>
      </c>
      <c r="D389" s="1"/>
    </row>
    <row r="390" ht="33.75" customHeight="1">
      <c r="A390" s="1"/>
      <c r="B390" s="10" t="s">
        <v>11</v>
      </c>
      <c r="C390" s="11" t="s">
        <v>73</v>
      </c>
      <c r="D390" s="1"/>
    </row>
    <row r="391" ht="42.0" customHeight="1">
      <c r="A391" s="1"/>
      <c r="B391" s="12" t="s">
        <v>13</v>
      </c>
      <c r="C391" s="13"/>
      <c r="D391" s="1"/>
    </row>
    <row r="392" ht="39.75" customHeight="1">
      <c r="A392" s="1"/>
      <c r="B392" s="14" t="s">
        <v>14</v>
      </c>
      <c r="C392" s="15" t="str">
        <f>IF(C391="","← A〜D を選択してください",IF(C391="A","✅ 正解！ 素晴らしいです！","❌ 不正解... 正解は A です！"))</f>
        <v>← A〜D を選択してください</v>
      </c>
      <c r="D392" s="1"/>
    </row>
    <row r="393" ht="79.5" customHeight="1">
      <c r="A393" s="1"/>
      <c r="B393" s="16" t="s">
        <v>15</v>
      </c>
      <c r="C393" s="17" t="str">
        <f>IF(C391="","回答を選択すると解説が表示されます","正解はAです。
ipconfig /allはWindowsで全ネットワーク設定（IPアドレス・サブネットマスク・ゲートウェイ・DNS・MACアドレスなど）を表示するコマンドです。
Linux/Macではifconfigまたは ip addr を使用します。")</f>
        <v>回答を選択すると解説が表示されます</v>
      </c>
      <c r="D393" s="1"/>
    </row>
    <row r="394" ht="15.75" customHeight="1">
      <c r="A394" s="1"/>
      <c r="B394" s="1"/>
      <c r="C394" s="1"/>
      <c r="D394" s="1"/>
    </row>
    <row r="395" ht="27.75" customHeight="1">
      <c r="A395" s="1"/>
      <c r="B395" s="8" t="s">
        <v>232</v>
      </c>
      <c r="C395" s="7"/>
      <c r="D395" s="1"/>
    </row>
    <row r="396" ht="57.75" customHeight="1">
      <c r="A396" s="1"/>
      <c r="B396" s="9" t="s">
        <v>410</v>
      </c>
      <c r="C396" s="7"/>
      <c r="D396" s="1"/>
    </row>
    <row r="397" ht="33.75" customHeight="1">
      <c r="A397" s="1"/>
      <c r="B397" s="10" t="s">
        <v>5</v>
      </c>
      <c r="C397" s="21" t="s">
        <v>32</v>
      </c>
      <c r="D397" s="1"/>
    </row>
    <row r="398" ht="33.75" customHeight="1">
      <c r="A398" s="1"/>
      <c r="B398" s="10" t="s">
        <v>7</v>
      </c>
      <c r="C398" s="11" t="s">
        <v>33</v>
      </c>
      <c r="D398" s="1"/>
    </row>
    <row r="399" ht="33.75" customHeight="1">
      <c r="A399" s="1"/>
      <c r="B399" s="10" t="s">
        <v>9</v>
      </c>
      <c r="C399" s="11" t="s">
        <v>34</v>
      </c>
      <c r="D399" s="1"/>
    </row>
    <row r="400" ht="33.75" customHeight="1">
      <c r="A400" s="1"/>
      <c r="B400" s="10" t="s">
        <v>11</v>
      </c>
      <c r="C400" s="11" t="s">
        <v>411</v>
      </c>
      <c r="D400" s="1"/>
    </row>
    <row r="401" ht="42.0" customHeight="1">
      <c r="A401" s="1"/>
      <c r="B401" s="12" t="s">
        <v>13</v>
      </c>
      <c r="C401" s="13"/>
      <c r="D401" s="1"/>
    </row>
    <row r="402" ht="39.75" customHeight="1">
      <c r="A402" s="1"/>
      <c r="B402" s="14" t="s">
        <v>14</v>
      </c>
      <c r="C402" s="15" t="str">
        <f>IF(C401="","← A〜D を選択してください",IF(C401="C","✅ 正解！ 素晴らしいです！","❌ 不正解... 正解は C です！"))</f>
        <v>← A〜D を選択してください</v>
      </c>
      <c r="D402" s="1"/>
    </row>
    <row r="403" ht="79.5" customHeight="1">
      <c r="A403" s="1"/>
      <c r="B403" s="16" t="s">
        <v>15</v>
      </c>
      <c r="C403" s="17" t="str">
        <f>IF(C401="","回答を選択すると解説が表示されます","正解はCです。
ホップ3が * であっても後続のホップ4・5が応答し、最終的に 192.168.1.10 に到達できているため「到達可能」が正解です。
ホップ3はICMPに返答しない設定になっているだけで、パケットは通過しています。")</f>
        <v>回答を選択すると解説が表示されます</v>
      </c>
      <c r="D403" s="1"/>
    </row>
    <row r="404" ht="15.75" customHeight="1">
      <c r="A404" s="1"/>
      <c r="B404" s="1"/>
      <c r="C404" s="1"/>
      <c r="D404" s="1"/>
    </row>
    <row r="405" ht="27.75" customHeight="1">
      <c r="A405" s="1"/>
      <c r="B405" s="8" t="s">
        <v>237</v>
      </c>
      <c r="C405" s="7"/>
      <c r="D405" s="1"/>
    </row>
    <row r="406" ht="57.75" customHeight="1">
      <c r="A406" s="1"/>
      <c r="B406" s="9" t="s">
        <v>412</v>
      </c>
      <c r="C406" s="7"/>
      <c r="D406" s="1"/>
    </row>
    <row r="407" ht="33.75" customHeight="1">
      <c r="A407" s="1"/>
      <c r="B407" s="10" t="s">
        <v>5</v>
      </c>
      <c r="C407" s="11" t="s">
        <v>413</v>
      </c>
      <c r="D407" s="1"/>
    </row>
    <row r="408" ht="33.75" customHeight="1">
      <c r="A408" s="1"/>
      <c r="B408" s="10" t="s">
        <v>7</v>
      </c>
      <c r="C408" s="11" t="s">
        <v>414</v>
      </c>
      <c r="D408" s="1"/>
    </row>
    <row r="409" ht="33.75" customHeight="1">
      <c r="A409" s="1"/>
      <c r="B409" s="10" t="s">
        <v>9</v>
      </c>
      <c r="C409" s="11" t="s">
        <v>21</v>
      </c>
      <c r="D409" s="1"/>
    </row>
    <row r="410" ht="33.75" customHeight="1">
      <c r="A410" s="1"/>
      <c r="B410" s="10" t="s">
        <v>11</v>
      </c>
      <c r="C410" s="11" t="s">
        <v>415</v>
      </c>
      <c r="D410" s="1"/>
    </row>
    <row r="411" ht="42.0" customHeight="1">
      <c r="A411" s="1"/>
      <c r="B411" s="12" t="s">
        <v>13</v>
      </c>
      <c r="C411" s="13"/>
      <c r="D411" s="1"/>
    </row>
    <row r="412" ht="39.75" customHeight="1">
      <c r="A412" s="1"/>
      <c r="B412" s="14" t="s">
        <v>14</v>
      </c>
      <c r="C412" s="15" t="str">
        <f>IF(C411="","← A〜D を選択してください",IF(C411="B","✅ 正解！ 素晴らしいです！","❌ 不正解... 正解は B です！"))</f>
        <v>← A〜D を選択してください</v>
      </c>
      <c r="D412" s="1"/>
    </row>
    <row r="413" ht="60.0" customHeight="1">
      <c r="A413" s="1"/>
      <c r="B413" s="16" t="s">
        <v>15</v>
      </c>
      <c r="C413" s="17" t="str">
        <f>IF(C411="","回答を選択すると解説が表示されます","正解はBです。
show cdp neighborsは隣接するCiscoデバイスの情報（Device ID、Local Interface、Holdtime、Capability、Platform、Port ID）を表示するコマンドです。")</f>
        <v>回答を選択すると解説が表示されます</v>
      </c>
      <c r="D413" s="1"/>
    </row>
    <row r="414" ht="15.75" customHeight="1">
      <c r="A414" s="1"/>
      <c r="B414" s="1"/>
      <c r="C414" s="1"/>
      <c r="D414" s="1"/>
    </row>
    <row r="415" ht="27.75" customHeight="1">
      <c r="A415" s="1"/>
      <c r="B415" s="8" t="s">
        <v>241</v>
      </c>
      <c r="C415" s="7"/>
      <c r="D415" s="1"/>
    </row>
    <row r="416" ht="57.75" customHeight="1">
      <c r="A416" s="1"/>
      <c r="B416" s="9" t="s">
        <v>199</v>
      </c>
      <c r="C416" s="7"/>
      <c r="D416" s="1"/>
    </row>
    <row r="417" ht="33.75" customHeight="1">
      <c r="A417" s="1"/>
      <c r="B417" s="10" t="s">
        <v>5</v>
      </c>
      <c r="C417" s="11" t="s">
        <v>200</v>
      </c>
      <c r="D417" s="1"/>
    </row>
    <row r="418" ht="33.75" customHeight="1">
      <c r="A418" s="1"/>
      <c r="B418" s="10" t="s">
        <v>7</v>
      </c>
      <c r="C418" s="11" t="s">
        <v>201</v>
      </c>
      <c r="D418" s="1"/>
    </row>
    <row r="419" ht="33.75" customHeight="1">
      <c r="A419" s="1"/>
      <c r="B419" s="10" t="s">
        <v>9</v>
      </c>
      <c r="C419" s="11" t="s">
        <v>202</v>
      </c>
      <c r="D419" s="1"/>
    </row>
    <row r="420" ht="33.75" customHeight="1">
      <c r="A420" s="1"/>
      <c r="B420" s="10" t="s">
        <v>11</v>
      </c>
      <c r="C420" s="11" t="s">
        <v>203</v>
      </c>
      <c r="D420" s="1"/>
    </row>
    <row r="421" ht="42.0" customHeight="1">
      <c r="A421" s="1"/>
      <c r="B421" s="12" t="s">
        <v>13</v>
      </c>
      <c r="C421" s="13"/>
      <c r="D421" s="1"/>
    </row>
    <row r="422" ht="39.75" customHeight="1">
      <c r="A422" s="1"/>
      <c r="B422" s="14" t="s">
        <v>14</v>
      </c>
      <c r="C422" s="15" t="str">
        <f>IF(C421="","← A〜D を選択してください",IF(C421="A","✅ 正解！ 素晴らしいです！","❌ 不正解... 正解は A です！"))</f>
        <v>← A〜D を選択してください</v>
      </c>
      <c r="D422" s="1"/>
    </row>
    <row r="423" ht="79.5" customHeight="1">
      <c r="A423" s="1"/>
      <c r="B423" s="16" t="s">
        <v>15</v>
      </c>
      <c r="C423" s="17" t="str">
        <f>IF(C421="","回答を選択すると解説が表示されます","正解はAです。
show ip routeはルーティングテーブルを表示するコマンドです。
どのネットワーク宛てのパケットをどのインターフェースに転送するかを確認できます。")</f>
        <v>回答を選択すると解説が表示されます</v>
      </c>
      <c r="D423" s="1"/>
    </row>
    <row r="424" ht="15.75" customHeight="1">
      <c r="A424" s="1"/>
      <c r="B424" s="1"/>
      <c r="C424" s="1"/>
      <c r="D424" s="1"/>
    </row>
    <row r="425" ht="27.75" customHeight="1">
      <c r="A425" s="1"/>
      <c r="B425" s="8" t="s">
        <v>247</v>
      </c>
      <c r="C425" s="7"/>
      <c r="D425" s="1"/>
    </row>
    <row r="426" ht="57.75" customHeight="1">
      <c r="A426" s="1"/>
      <c r="B426" s="20" t="s">
        <v>416</v>
      </c>
      <c r="C426" s="7"/>
      <c r="D426" s="1"/>
    </row>
    <row r="427" ht="33.75" customHeight="1">
      <c r="A427" s="1"/>
      <c r="B427" s="10" t="s">
        <v>5</v>
      </c>
      <c r="C427" s="11" t="s">
        <v>417</v>
      </c>
      <c r="D427" s="1"/>
    </row>
    <row r="428" ht="33.75" customHeight="1">
      <c r="A428" s="1"/>
      <c r="B428" s="10" t="s">
        <v>7</v>
      </c>
      <c r="C428" s="21" t="s">
        <v>418</v>
      </c>
      <c r="D428" s="1"/>
    </row>
    <row r="429" ht="33.75" customHeight="1">
      <c r="A429" s="1"/>
      <c r="B429" s="10" t="s">
        <v>9</v>
      </c>
      <c r="C429" s="21" t="s">
        <v>419</v>
      </c>
      <c r="D429" s="1"/>
    </row>
    <row r="430" ht="33.75" customHeight="1">
      <c r="A430" s="1"/>
      <c r="B430" s="10" t="s">
        <v>11</v>
      </c>
      <c r="C430" s="11" t="s">
        <v>420</v>
      </c>
      <c r="D430" s="1"/>
    </row>
    <row r="431" ht="42.0" customHeight="1">
      <c r="A431" s="1"/>
      <c r="B431" s="12" t="s">
        <v>13</v>
      </c>
      <c r="C431" s="13"/>
      <c r="D431" s="1"/>
    </row>
    <row r="432" ht="39.75" customHeight="1">
      <c r="A432" s="1"/>
      <c r="B432" s="14" t="s">
        <v>14</v>
      </c>
      <c r="C432" s="15" t="str">
        <f>IF(C431="","← A〜D を選択してください",IF(C431="B","✅ 正解！ 素晴らしいです！","❌ 不正解... 正解は B です！"))</f>
        <v>← A〜D を選択してください</v>
      </c>
      <c r="D432" s="1"/>
    </row>
    <row r="433" ht="79.5" customHeight="1">
      <c r="A433" s="1"/>
      <c r="B433" s="16" t="s">
        <v>15</v>
      </c>
      <c r="C433" s="17" t="str">
        <f>IF(C431="","回答を選択すると解説が表示されます","正解はBです。
スイッチはMACアドレステーブルを使用して「このMACアドレスはポート何番に接続されているか」を把握し、フレームを転送します。
show mac address-tableコマンドで確認できます。")</f>
        <v>回答を選択すると解説が表示されます</v>
      </c>
      <c r="D433" s="1"/>
    </row>
    <row r="434" ht="15.75" customHeight="1">
      <c r="A434" s="1"/>
      <c r="B434" s="1"/>
      <c r="C434" s="1"/>
      <c r="D434" s="1"/>
    </row>
    <row r="435" ht="27.75" customHeight="1">
      <c r="A435" s="1"/>
      <c r="B435" s="8" t="s">
        <v>251</v>
      </c>
      <c r="C435" s="7"/>
      <c r="D435" s="1"/>
    </row>
    <row r="436" ht="57.75" customHeight="1">
      <c r="A436" s="1"/>
      <c r="B436" s="9" t="s">
        <v>176</v>
      </c>
      <c r="C436" s="7"/>
      <c r="D436" s="1"/>
    </row>
    <row r="437" ht="33.75" customHeight="1">
      <c r="A437" s="1"/>
      <c r="B437" s="10" t="s">
        <v>5</v>
      </c>
      <c r="C437" s="21" t="s">
        <v>421</v>
      </c>
      <c r="D437" s="1"/>
    </row>
    <row r="438" ht="33.75" customHeight="1">
      <c r="A438" s="1"/>
      <c r="B438" s="10" t="s">
        <v>7</v>
      </c>
      <c r="C438" s="21" t="s">
        <v>422</v>
      </c>
      <c r="D438" s="1"/>
    </row>
    <row r="439" ht="33.75" customHeight="1">
      <c r="A439" s="1"/>
      <c r="B439" s="10" t="s">
        <v>9</v>
      </c>
      <c r="C439" s="21" t="s">
        <v>423</v>
      </c>
      <c r="D439" s="1"/>
    </row>
    <row r="440" ht="33.75" customHeight="1">
      <c r="A440" s="1"/>
      <c r="B440" s="10" t="s">
        <v>11</v>
      </c>
      <c r="C440" s="11" t="s">
        <v>424</v>
      </c>
      <c r="D440" s="1"/>
    </row>
    <row r="441" ht="42.0" customHeight="1">
      <c r="A441" s="1"/>
      <c r="B441" s="12" t="s">
        <v>13</v>
      </c>
      <c r="C441" s="13"/>
      <c r="D441" s="1"/>
    </row>
    <row r="442" ht="39.75" customHeight="1">
      <c r="A442" s="1"/>
      <c r="B442" s="14" t="s">
        <v>14</v>
      </c>
      <c r="C442" s="15" t="str">
        <f>IF(C441="","← A〜D を選択してください",IF(C441="B","✅ 正解！ 素晴らしいです！","❌ 不正解... 正解は B です！"))</f>
        <v>← A〜D を選択してください</v>
      </c>
      <c r="D442" s="1"/>
    </row>
    <row r="443" ht="79.5" customHeight="1">
      <c r="A443" s="1"/>
      <c r="B443" s="16" t="s">
        <v>15</v>
      </c>
      <c r="C443" s="17" t="str">
        <f>IF(C441="","回答を選択すると解説が表示されます","正解はBです。
VLAN（Virtual LAN）はネットワークを論理的に分割し、ブロードキャストドメインを小さくするために使用します。
部署ごとの分離やセキュリティ向上にも活用できます。")</f>
        <v>回答を選択すると解説が表示されます</v>
      </c>
      <c r="D443" s="1"/>
    </row>
    <row r="444" ht="15.75" customHeight="1">
      <c r="A444" s="1"/>
      <c r="B444" s="1"/>
      <c r="C444" s="1"/>
      <c r="D444" s="1"/>
    </row>
    <row r="445" ht="27.75" customHeight="1">
      <c r="A445" s="1"/>
      <c r="B445" s="8" t="s">
        <v>254</v>
      </c>
      <c r="C445" s="7"/>
      <c r="D445" s="1"/>
    </row>
    <row r="446" ht="57.75" customHeight="1">
      <c r="A446" s="1"/>
      <c r="B446" s="9" t="s">
        <v>273</v>
      </c>
      <c r="C446" s="7"/>
      <c r="D446" s="1"/>
    </row>
    <row r="447" ht="33.75" customHeight="1">
      <c r="A447" s="1"/>
      <c r="B447" s="10" t="s">
        <v>5</v>
      </c>
      <c r="C447" s="11" t="s">
        <v>274</v>
      </c>
      <c r="D447" s="1"/>
    </row>
    <row r="448" ht="33.75" customHeight="1">
      <c r="A448" s="1"/>
      <c r="B448" s="10" t="s">
        <v>7</v>
      </c>
      <c r="C448" s="11" t="s">
        <v>275</v>
      </c>
      <c r="D448" s="1"/>
    </row>
    <row r="449" ht="33.75" customHeight="1">
      <c r="A449" s="1"/>
      <c r="B449" s="10" t="s">
        <v>9</v>
      </c>
      <c r="C449" s="11" t="s">
        <v>276</v>
      </c>
      <c r="D449" s="1"/>
    </row>
    <row r="450" ht="33.75" customHeight="1">
      <c r="A450" s="1"/>
      <c r="B450" s="10" t="s">
        <v>11</v>
      </c>
      <c r="C450" s="11" t="s">
        <v>277</v>
      </c>
      <c r="D450" s="1"/>
    </row>
    <row r="451" ht="42.0" customHeight="1">
      <c r="A451" s="1"/>
      <c r="B451" s="12" t="s">
        <v>13</v>
      </c>
      <c r="C451" s="13"/>
      <c r="D451" s="1"/>
    </row>
    <row r="452" ht="39.75" customHeight="1">
      <c r="A452" s="1"/>
      <c r="B452" s="14" t="s">
        <v>14</v>
      </c>
      <c r="C452" s="15" t="str">
        <f>IF(C451="","← A〜D を選択してください",IF(C451="C","✅ 正解！ 素晴らしいです！","❌ 不正解... 正解は C です！"))</f>
        <v>← A〜D を選択してください</v>
      </c>
      <c r="D452" s="1"/>
    </row>
    <row r="453" ht="79.5" customHeight="1">
      <c r="A453" s="1"/>
      <c r="B453" s="16" t="s">
        <v>15</v>
      </c>
      <c r="C453" s="17" t="str">
        <f>IF(C451="","回答を選択すると解説が表示されます","正解はCです。
Wiresharkでキャプチャしたパケットは .pcap（Packet Capture）形式で保存されます。
後から開いて再分析することも可能で、他のツールとの互換性もあります。")</f>
        <v>回答を選択すると解説が表示されます</v>
      </c>
      <c r="D453" s="1"/>
    </row>
    <row r="454" ht="15.75" customHeight="1">
      <c r="A454" s="1"/>
      <c r="B454" s="1"/>
      <c r="C454" s="1"/>
      <c r="D454" s="1"/>
    </row>
    <row r="455" ht="27.75" customHeight="1">
      <c r="A455" s="1"/>
      <c r="B455" s="8" t="s">
        <v>260</v>
      </c>
      <c r="C455" s="7"/>
      <c r="D455" s="1"/>
    </row>
    <row r="456" ht="57.75" customHeight="1">
      <c r="A456" s="1"/>
      <c r="B456" s="9" t="s">
        <v>425</v>
      </c>
      <c r="C456" s="7"/>
      <c r="D456" s="1"/>
    </row>
    <row r="457" ht="33.75" customHeight="1">
      <c r="A457" s="1"/>
      <c r="B457" s="10" t="s">
        <v>5</v>
      </c>
      <c r="C457" s="21" t="s">
        <v>44</v>
      </c>
      <c r="D457" s="1"/>
    </row>
    <row r="458" ht="33.75" customHeight="1">
      <c r="A458" s="1"/>
      <c r="B458" s="10" t="s">
        <v>7</v>
      </c>
      <c r="C458" s="21" t="s">
        <v>45</v>
      </c>
      <c r="D458" s="1"/>
    </row>
    <row r="459" ht="33.75" customHeight="1">
      <c r="A459" s="1"/>
      <c r="B459" s="10" t="s">
        <v>9</v>
      </c>
      <c r="C459" s="21" t="s">
        <v>46</v>
      </c>
      <c r="D459" s="1"/>
    </row>
    <row r="460" ht="33.75" customHeight="1">
      <c r="A460" s="1"/>
      <c r="B460" s="10" t="s">
        <v>11</v>
      </c>
      <c r="C460" s="21" t="s">
        <v>47</v>
      </c>
      <c r="D460" s="1"/>
    </row>
    <row r="461" ht="42.0" customHeight="1">
      <c r="A461" s="1"/>
      <c r="B461" s="12" t="s">
        <v>13</v>
      </c>
      <c r="C461" s="13"/>
      <c r="D461" s="1"/>
    </row>
    <row r="462" ht="39.75" customHeight="1">
      <c r="A462" s="1"/>
      <c r="B462" s="14" t="s">
        <v>14</v>
      </c>
      <c r="C462" s="15" t="str">
        <f>IF(C461="","← A〜D を選択してください",IF(C461="C","✅ 正解！ 素晴らしいです！","❌ 不正解... 正解は C です！"))</f>
        <v>← A〜D を選択してください</v>
      </c>
      <c r="D462" s="1"/>
    </row>
    <row r="463" ht="79.5" customHeight="1">
      <c r="A463" s="1"/>
      <c r="B463" s="16" t="s">
        <v>15</v>
      </c>
      <c r="C463" s="17" t="str">
        <f>IF(C461="","回答を選択すると解説が表示されます","正解はCです。
AAA = Authentication（認証）・Authorization（認可）・Accounting（アカウンティング）です。
「誰であるかを確認する」のが認証（Authentication）です。認証→認可→アカウンティングの順で処理されます。")</f>
        <v>回答を選択すると解説が表示されます</v>
      </c>
      <c r="D463" s="1"/>
    </row>
    <row r="464" ht="15.75" customHeight="1">
      <c r="A464" s="1"/>
      <c r="B464" s="1"/>
      <c r="C464" s="1"/>
      <c r="D464" s="1"/>
    </row>
    <row r="465" ht="27.75" customHeight="1">
      <c r="A465" s="1"/>
      <c r="B465" s="8" t="s">
        <v>266</v>
      </c>
      <c r="C465" s="7"/>
      <c r="D465" s="1"/>
    </row>
    <row r="466" ht="57.75" customHeight="1">
      <c r="A466" s="1"/>
      <c r="B466" s="9" t="s">
        <v>426</v>
      </c>
      <c r="C466" s="7"/>
      <c r="D466" s="1"/>
    </row>
    <row r="467" ht="33.75" customHeight="1">
      <c r="A467" s="1"/>
      <c r="B467" s="10" t="s">
        <v>5</v>
      </c>
      <c r="C467" s="21" t="s">
        <v>427</v>
      </c>
      <c r="D467" s="1"/>
    </row>
    <row r="468" ht="33.75" customHeight="1">
      <c r="A468" s="1"/>
      <c r="B468" s="10" t="s">
        <v>7</v>
      </c>
      <c r="C468" s="21" t="s">
        <v>428</v>
      </c>
      <c r="D468" s="1"/>
    </row>
    <row r="469" ht="33.75" customHeight="1">
      <c r="A469" s="1"/>
      <c r="B469" s="10" t="s">
        <v>9</v>
      </c>
      <c r="C469" s="21" t="s">
        <v>429</v>
      </c>
      <c r="D469" s="1"/>
    </row>
    <row r="470" ht="33.75" customHeight="1">
      <c r="A470" s="1"/>
      <c r="B470" s="10" t="s">
        <v>11</v>
      </c>
      <c r="C470" s="21" t="s">
        <v>430</v>
      </c>
      <c r="D470" s="1"/>
    </row>
    <row r="471" ht="42.0" customHeight="1">
      <c r="A471" s="1"/>
      <c r="B471" s="12" t="s">
        <v>13</v>
      </c>
      <c r="C471" s="13"/>
      <c r="D471" s="1"/>
    </row>
    <row r="472" ht="39.75" customHeight="1">
      <c r="A472" s="1"/>
      <c r="B472" s="14" t="s">
        <v>14</v>
      </c>
      <c r="C472" s="15" t="str">
        <f>IF(C471="","← A〜D を選択してください",IF(C471="A","✅ 正解！ 素晴らしいです！","❌ 不正解... 正解は A です！"))</f>
        <v>← A〜D を選択してください</v>
      </c>
      <c r="D472" s="1"/>
    </row>
    <row r="473" ht="79.5" customHeight="1">
      <c r="A473" s="1"/>
      <c r="B473" s="16" t="s">
        <v>15</v>
      </c>
      <c r="C473" s="17" t="str">
        <f>IF(C471="","回答を選択すると解説が表示されます","正解はAです。
CIAトライアドはConfidentiality（機密性）・Integrity（完全性）・Availability（可用性）の3要素です。
機密性=許可された人だけがアクセス可能、完全性=データが改ざんされていない、可用性=必要な時に使用可能、という意味です。")</f>
        <v>回答を選択すると解説が表示されます</v>
      </c>
      <c r="D473" s="1"/>
    </row>
    <row r="474" ht="15.75" customHeight="1">
      <c r="A474" s="1"/>
      <c r="B474" s="1"/>
      <c r="C474" s="1"/>
      <c r="D474" s="1"/>
    </row>
    <row r="475" ht="27.75" customHeight="1">
      <c r="A475" s="1"/>
      <c r="B475" s="8" t="s">
        <v>272</v>
      </c>
      <c r="C475" s="7"/>
      <c r="D475" s="1"/>
    </row>
    <row r="476" ht="57.75" customHeight="1">
      <c r="A476" s="1"/>
      <c r="B476" s="9" t="s">
        <v>255</v>
      </c>
      <c r="C476" s="7"/>
      <c r="D476" s="1"/>
    </row>
    <row r="477" ht="33.75" customHeight="1">
      <c r="A477" s="1"/>
      <c r="B477" s="10" t="s">
        <v>5</v>
      </c>
      <c r="C477" s="11" t="s">
        <v>256</v>
      </c>
      <c r="D477" s="1"/>
    </row>
    <row r="478" ht="33.75" customHeight="1">
      <c r="A478" s="1"/>
      <c r="B478" s="10" t="s">
        <v>7</v>
      </c>
      <c r="C478" s="11" t="s">
        <v>257</v>
      </c>
      <c r="D478" s="1"/>
    </row>
    <row r="479" ht="33.75" customHeight="1">
      <c r="A479" s="1"/>
      <c r="B479" s="10" t="s">
        <v>9</v>
      </c>
      <c r="C479" s="11" t="s">
        <v>258</v>
      </c>
      <c r="D479" s="1"/>
    </row>
    <row r="480" ht="33.75" customHeight="1">
      <c r="A480" s="1"/>
      <c r="B480" s="10" t="s">
        <v>11</v>
      </c>
      <c r="C480" s="21" t="s">
        <v>259</v>
      </c>
      <c r="D480" s="1"/>
    </row>
    <row r="481" ht="42.0" customHeight="1">
      <c r="A481" s="1"/>
      <c r="B481" s="12" t="s">
        <v>13</v>
      </c>
      <c r="C481" s="13"/>
      <c r="D481" s="1"/>
    </row>
    <row r="482" ht="39.75" customHeight="1">
      <c r="A482" s="1"/>
      <c r="B482" s="14" t="s">
        <v>14</v>
      </c>
      <c r="C482" s="15" t="str">
        <f>IF(C481="","← A〜D を選択してください",IF(C481="B","✅ 正解！ 素晴らしいです！","❌ 不正解... 正解は B です！"))</f>
        <v>← A〜D を選択してください</v>
      </c>
      <c r="D482" s="1"/>
    </row>
    <row r="483" ht="79.5" customHeight="1">
      <c r="A483" s="1"/>
      <c r="B483" s="16" t="s">
        <v>15</v>
      </c>
      <c r="C483" s="17" t="str">
        <f>IF(C481="","回答を選択すると解説が表示されます","正解はBです。
WPA2-Personal（PSK）は家庭向けでパスワード（事前共有キー）で認証します。
WPA2-EnterpriseはRADIUSサーバーを使用した企業向けの方式で、ユーザーごとに個別認証できるためセキュリティが高いです。")</f>
        <v>回答を選択すると解説が表示されます</v>
      </c>
      <c r="D483" s="1"/>
    </row>
    <row r="484" ht="15.75" customHeight="1">
      <c r="A484" s="1"/>
      <c r="B484" s="1"/>
      <c r="C484" s="1"/>
      <c r="D484" s="1"/>
    </row>
    <row r="485" ht="27.75" customHeight="1">
      <c r="A485" s="1"/>
      <c r="B485" s="8" t="s">
        <v>278</v>
      </c>
      <c r="C485" s="7"/>
      <c r="D485" s="1"/>
    </row>
    <row r="486" ht="57.75" customHeight="1">
      <c r="A486" s="1"/>
      <c r="B486" s="20" t="s">
        <v>431</v>
      </c>
      <c r="C486" s="7"/>
      <c r="D486" s="1"/>
    </row>
    <row r="487" ht="33.75" customHeight="1">
      <c r="A487" s="1"/>
      <c r="B487" s="10" t="s">
        <v>5</v>
      </c>
      <c r="C487" s="21" t="s">
        <v>432</v>
      </c>
      <c r="D487" s="1"/>
    </row>
    <row r="488" ht="33.75" customHeight="1">
      <c r="A488" s="1"/>
      <c r="B488" s="10" t="s">
        <v>7</v>
      </c>
      <c r="C488" s="21" t="s">
        <v>433</v>
      </c>
      <c r="D488" s="1"/>
    </row>
    <row r="489" ht="33.75" customHeight="1">
      <c r="A489" s="1"/>
      <c r="B489" s="10" t="s">
        <v>9</v>
      </c>
      <c r="C489" s="21" t="s">
        <v>434</v>
      </c>
      <c r="D489" s="1"/>
    </row>
    <row r="490" ht="33.75" customHeight="1">
      <c r="A490" s="1"/>
      <c r="B490" s="10" t="s">
        <v>11</v>
      </c>
      <c r="C490" s="21" t="s">
        <v>435</v>
      </c>
      <c r="D490" s="1"/>
    </row>
    <row r="491" ht="42.0" customHeight="1">
      <c r="A491" s="1"/>
      <c r="B491" s="12" t="s">
        <v>13</v>
      </c>
      <c r="C491" s="13"/>
      <c r="D491" s="1"/>
    </row>
    <row r="492" ht="39.75" customHeight="1">
      <c r="A492" s="1"/>
      <c r="B492" s="14" t="s">
        <v>14</v>
      </c>
      <c r="C492" s="15" t="str">
        <f>IF(C491="","← A〜D を選択してください",IF(C491="B","✅ 正解！ 素晴らしいです！","❌ 不正解... 正解は B です！"))</f>
        <v>← A〜D を選択してください</v>
      </c>
      <c r="D492" s="1"/>
    </row>
    <row r="493" ht="79.5" customHeight="1">
      <c r="A493" s="1"/>
      <c r="B493" s="16" t="s">
        <v>15</v>
      </c>
      <c r="C493" s="17" t="str">
        <f>IF(C491="","回答を選択すると解説が表示されます","正解はBです。
フィッシングは銀行やAmazonなどの正規組織を装った偽のメールやWebサイトで、ID・パスワード・クレジットカード情報などを騙し取る攻撃です。
メールのリンクをクリックする前に送信元を確認することが重要です。")</f>
        <v>回答を選択すると解説が表示されます</v>
      </c>
      <c r="D493" s="1"/>
    </row>
    <row r="494" ht="15.75" customHeight="1">
      <c r="A494" s="1"/>
      <c r="B494" s="1"/>
      <c r="C494" s="1"/>
      <c r="D494" s="1"/>
    </row>
    <row r="495" ht="27.75" customHeight="1">
      <c r="A495" s="1"/>
      <c r="B495" s="8" t="s">
        <v>284</v>
      </c>
      <c r="C495" s="7"/>
      <c r="D495" s="1"/>
    </row>
    <row r="496" ht="57.75" customHeight="1">
      <c r="A496" s="1"/>
      <c r="B496" s="20" t="s">
        <v>248</v>
      </c>
      <c r="C496" s="7"/>
      <c r="D496" s="1"/>
    </row>
    <row r="497" ht="33.75" customHeight="1">
      <c r="A497" s="1"/>
      <c r="B497" s="10" t="s">
        <v>5</v>
      </c>
      <c r="C497" s="21" t="s">
        <v>249</v>
      </c>
      <c r="D497" s="1"/>
    </row>
    <row r="498" ht="33.75" customHeight="1">
      <c r="A498" s="1"/>
      <c r="B498" s="10" t="s">
        <v>7</v>
      </c>
      <c r="C498" s="21" t="s">
        <v>436</v>
      </c>
      <c r="D498" s="1"/>
    </row>
    <row r="499" ht="33.75" customHeight="1">
      <c r="A499" s="1"/>
      <c r="B499" s="10" t="s">
        <v>9</v>
      </c>
      <c r="C499" s="11" t="s">
        <v>220</v>
      </c>
      <c r="D499" s="1"/>
    </row>
    <row r="500" ht="33.75" customHeight="1">
      <c r="A500" s="1"/>
      <c r="B500" s="10" t="s">
        <v>11</v>
      </c>
      <c r="C500" s="21" t="s">
        <v>171</v>
      </c>
      <c r="D500" s="1"/>
    </row>
    <row r="501" ht="42.0" customHeight="1">
      <c r="A501" s="1"/>
      <c r="B501" s="12" t="s">
        <v>13</v>
      </c>
      <c r="C501" s="13"/>
      <c r="D501" s="1"/>
    </row>
    <row r="502" ht="39.75" customHeight="1">
      <c r="A502" s="1"/>
      <c r="B502" s="14" t="s">
        <v>14</v>
      </c>
      <c r="C502" s="15" t="str">
        <f>IF(C501="","← A〜D を選択してください",IF(C501="B","✅ 正解！ 素晴らしいです！","❌ 不正解... 正解は B です！"))</f>
        <v>← A〜D を選択してください</v>
      </c>
      <c r="D502" s="1"/>
    </row>
    <row r="503" ht="79.5" customHeight="1">
      <c r="A503" s="1"/>
      <c r="B503" s="16" t="s">
        <v>15</v>
      </c>
      <c r="C503" s="17" t="str">
        <f>IF(C501="","回答を選択すると解説が表示されます","正解はBです。
ファイアウォールはセキュリティルール（ポート番号・プロトコル・IPアドレスなど）に基づいてトラフィックを許可または拒否します。
不正なアクセスをブロックし、許可されたトラフィックのみを通過させることが主な機能です。")</f>
        <v>回答を選択すると解説が表示されます</v>
      </c>
      <c r="D503" s="1"/>
    </row>
    <row r="504" ht="15.75" customHeight="1">
      <c r="A504" s="1"/>
      <c r="B504" s="1"/>
      <c r="C504" s="1"/>
      <c r="D504" s="1"/>
    </row>
    <row r="505" ht="15.75" customHeight="1">
      <c r="A505" s="1"/>
      <c r="B505" s="1"/>
      <c r="C505" s="1"/>
      <c r="D505" s="1"/>
    </row>
    <row r="506" ht="15.75" customHeight="1">
      <c r="A506" s="1"/>
      <c r="B506" s="1"/>
      <c r="C506" s="1"/>
      <c r="D506" s="1"/>
    </row>
    <row r="507" ht="15.75" customHeight="1">
      <c r="A507" s="1"/>
      <c r="B507" s="1"/>
      <c r="C507" s="1"/>
      <c r="D507" s="1"/>
    </row>
    <row r="508" ht="15.75" customHeight="1">
      <c r="A508" s="1"/>
      <c r="B508" s="1"/>
      <c r="C508" s="1"/>
      <c r="D508" s="1"/>
    </row>
    <row r="509" ht="15.75" customHeight="1">
      <c r="A509" s="1"/>
      <c r="B509" s="1"/>
      <c r="C509" s="1"/>
      <c r="D509" s="1"/>
    </row>
    <row r="510" ht="15.75" customHeight="1">
      <c r="A510" s="1"/>
      <c r="B510" s="1"/>
      <c r="C510" s="1"/>
      <c r="D510" s="1"/>
    </row>
    <row r="511" ht="15.75" customHeight="1">
      <c r="A511" s="1"/>
      <c r="B511" s="1"/>
      <c r="C511" s="1"/>
      <c r="D511" s="1"/>
    </row>
    <row r="512" ht="15.75" customHeight="1">
      <c r="A512" s="1"/>
      <c r="B512" s="1"/>
      <c r="C512" s="1"/>
      <c r="D512" s="1"/>
    </row>
    <row r="513" ht="15.75" customHeight="1">
      <c r="A513" s="1"/>
      <c r="B513" s="1"/>
      <c r="C513" s="1"/>
      <c r="D513" s="1"/>
    </row>
    <row r="514" ht="15.75" customHeight="1">
      <c r="A514" s="1"/>
      <c r="B514" s="1"/>
      <c r="C514" s="1"/>
      <c r="D514" s="1"/>
    </row>
    <row r="515" ht="15.75" customHeight="1">
      <c r="A515" s="1"/>
      <c r="B515" s="1"/>
      <c r="C515" s="1"/>
      <c r="D515" s="1"/>
    </row>
    <row r="516" ht="15.75" customHeight="1">
      <c r="A516" s="1"/>
      <c r="B516" s="1"/>
      <c r="C516" s="1"/>
      <c r="D516" s="1"/>
    </row>
    <row r="517" ht="15.75" customHeight="1">
      <c r="A517" s="1"/>
      <c r="B517" s="1"/>
      <c r="C517" s="1"/>
      <c r="D517" s="1"/>
    </row>
    <row r="518" ht="15.75" customHeight="1">
      <c r="A518" s="1"/>
      <c r="B518" s="1"/>
      <c r="C518" s="1"/>
      <c r="D518" s="1"/>
    </row>
    <row r="519" ht="15.75" customHeight="1">
      <c r="A519" s="1"/>
      <c r="B519" s="1"/>
      <c r="C519" s="1"/>
      <c r="D519" s="1"/>
    </row>
    <row r="520" ht="15.75" customHeight="1">
      <c r="A520" s="1"/>
      <c r="B520" s="1"/>
      <c r="C520" s="1"/>
      <c r="D520" s="1"/>
    </row>
    <row r="521" ht="15.75" customHeight="1">
      <c r="A521" s="1"/>
      <c r="B521" s="1"/>
      <c r="C521" s="1"/>
      <c r="D521" s="1"/>
    </row>
    <row r="522" ht="15.75" customHeight="1">
      <c r="A522" s="1"/>
      <c r="B522" s="1"/>
      <c r="C522" s="1"/>
      <c r="D522" s="1"/>
    </row>
    <row r="523" ht="15.75" customHeight="1">
      <c r="A523" s="1"/>
      <c r="B523" s="1"/>
      <c r="C523" s="1"/>
      <c r="D523" s="1"/>
    </row>
    <row r="524" ht="15.75" customHeight="1">
      <c r="A524" s="1"/>
      <c r="B524" s="1"/>
      <c r="C524" s="1"/>
      <c r="D524" s="1"/>
    </row>
    <row r="525" ht="15.75" customHeight="1">
      <c r="A525" s="1"/>
      <c r="B525" s="1"/>
      <c r="C525" s="1"/>
      <c r="D525" s="1"/>
    </row>
    <row r="526" ht="15.75" customHeight="1">
      <c r="A526" s="1"/>
      <c r="B526" s="1"/>
      <c r="C526" s="1"/>
      <c r="D526" s="1"/>
    </row>
    <row r="527" ht="15.75" customHeight="1">
      <c r="A527" s="1"/>
      <c r="B527" s="1"/>
      <c r="C527" s="1"/>
      <c r="D527" s="1"/>
    </row>
    <row r="528" ht="15.75" customHeight="1">
      <c r="A528" s="1"/>
      <c r="B528" s="1"/>
      <c r="C528" s="1"/>
      <c r="D528" s="1"/>
    </row>
    <row r="529" ht="15.75" customHeight="1">
      <c r="A529" s="1"/>
      <c r="B529" s="1"/>
      <c r="C529" s="1"/>
      <c r="D529" s="1"/>
    </row>
    <row r="530" ht="15.75" customHeight="1">
      <c r="A530" s="1"/>
      <c r="B530" s="1"/>
      <c r="C530" s="1"/>
      <c r="D530" s="1"/>
    </row>
    <row r="531" ht="15.75" customHeight="1">
      <c r="A531" s="1"/>
      <c r="B531" s="1"/>
      <c r="C531" s="1"/>
      <c r="D531" s="1"/>
    </row>
    <row r="532" ht="15.75" customHeight="1">
      <c r="A532" s="1"/>
      <c r="B532" s="1"/>
      <c r="C532" s="1"/>
      <c r="D532" s="1"/>
    </row>
    <row r="533" ht="15.75" customHeight="1">
      <c r="A533" s="1"/>
      <c r="B533" s="1"/>
      <c r="C533" s="1"/>
      <c r="D533" s="1"/>
    </row>
    <row r="534" ht="15.75" customHeight="1">
      <c r="A534" s="1"/>
      <c r="B534" s="1"/>
      <c r="C534" s="1"/>
      <c r="D534" s="1"/>
    </row>
    <row r="535" ht="15.75" customHeight="1">
      <c r="A535" s="1"/>
      <c r="B535" s="1"/>
      <c r="C535" s="1"/>
      <c r="D535" s="1"/>
    </row>
    <row r="536" ht="15.75" customHeight="1">
      <c r="A536" s="1"/>
      <c r="B536" s="1"/>
      <c r="C536" s="1"/>
      <c r="D536" s="1"/>
    </row>
    <row r="537" ht="15.75" customHeight="1">
      <c r="A537" s="1"/>
      <c r="B537" s="1"/>
      <c r="C537" s="1"/>
      <c r="D537" s="1"/>
    </row>
    <row r="538" ht="15.75" customHeight="1">
      <c r="A538" s="1"/>
      <c r="B538" s="1"/>
      <c r="C538" s="1"/>
      <c r="D538" s="1"/>
    </row>
    <row r="539" ht="15.75" customHeight="1">
      <c r="A539" s="1"/>
      <c r="B539" s="1"/>
      <c r="C539" s="1"/>
      <c r="D539" s="1"/>
    </row>
    <row r="540" ht="15.75" customHeight="1">
      <c r="A540" s="1"/>
      <c r="B540" s="1"/>
      <c r="C540" s="1"/>
      <c r="D540" s="1"/>
    </row>
    <row r="541" ht="15.75" customHeight="1">
      <c r="A541" s="1"/>
      <c r="B541" s="1"/>
      <c r="C541" s="1"/>
      <c r="D541" s="1"/>
    </row>
    <row r="542" ht="15.75" customHeight="1">
      <c r="A542" s="1"/>
      <c r="B542" s="1"/>
      <c r="C542" s="1"/>
      <c r="D542" s="1"/>
    </row>
    <row r="543" ht="15.75" customHeight="1">
      <c r="A543" s="1"/>
      <c r="B543" s="1"/>
      <c r="C543" s="1"/>
      <c r="D543" s="1"/>
    </row>
    <row r="544" ht="15.75" customHeight="1">
      <c r="A544" s="1"/>
      <c r="B544" s="1"/>
      <c r="C544" s="1"/>
      <c r="D544" s="1"/>
    </row>
    <row r="545" ht="15.75" customHeight="1">
      <c r="A545" s="1"/>
      <c r="B545" s="1"/>
      <c r="C545" s="1"/>
      <c r="D545" s="1"/>
    </row>
    <row r="546" ht="15.75" customHeight="1">
      <c r="A546" s="1"/>
      <c r="B546" s="1"/>
      <c r="C546" s="1"/>
      <c r="D546" s="1"/>
    </row>
    <row r="547" ht="15.75" customHeight="1">
      <c r="A547" s="1"/>
      <c r="B547" s="1"/>
      <c r="C547" s="1"/>
      <c r="D547" s="1"/>
    </row>
    <row r="548" ht="15.75" customHeight="1">
      <c r="A548" s="1"/>
      <c r="B548" s="1"/>
      <c r="C548" s="1"/>
      <c r="D548" s="1"/>
    </row>
    <row r="549" ht="15.75" customHeight="1">
      <c r="A549" s="1"/>
      <c r="B549" s="1"/>
      <c r="C549" s="1"/>
      <c r="D549" s="1"/>
    </row>
    <row r="550" ht="15.75" customHeight="1">
      <c r="A550" s="1"/>
      <c r="B550" s="1"/>
      <c r="C550" s="1"/>
      <c r="D550" s="1"/>
    </row>
    <row r="551" ht="15.75" customHeight="1">
      <c r="A551" s="1"/>
      <c r="B551" s="1"/>
      <c r="C551" s="1"/>
      <c r="D551" s="1"/>
    </row>
    <row r="552" ht="15.75" customHeight="1">
      <c r="A552" s="1"/>
      <c r="B552" s="1"/>
      <c r="C552" s="1"/>
      <c r="D552" s="1"/>
    </row>
    <row r="553" ht="15.75" customHeight="1">
      <c r="A553" s="1"/>
      <c r="B553" s="1"/>
      <c r="C553" s="1"/>
      <c r="D553" s="1"/>
    </row>
    <row r="554" ht="15.75" customHeight="1">
      <c r="A554" s="1"/>
      <c r="B554" s="1"/>
      <c r="C554" s="1"/>
      <c r="D554" s="1"/>
    </row>
    <row r="555" ht="15.75" customHeight="1">
      <c r="A555" s="1"/>
      <c r="B555" s="1"/>
      <c r="C555" s="1"/>
      <c r="D555" s="1"/>
    </row>
    <row r="556" ht="15.75" customHeight="1">
      <c r="A556" s="1"/>
      <c r="B556" s="1"/>
      <c r="C556" s="1"/>
      <c r="D556" s="1"/>
    </row>
    <row r="557" ht="15.75" customHeight="1">
      <c r="A557" s="1"/>
      <c r="B557" s="1"/>
      <c r="C557" s="1"/>
      <c r="D557" s="1"/>
    </row>
    <row r="558" ht="15.75" customHeight="1">
      <c r="A558" s="1"/>
      <c r="B558" s="1"/>
      <c r="C558" s="1"/>
      <c r="D558" s="1"/>
    </row>
    <row r="559" ht="15.75" customHeight="1">
      <c r="A559" s="1"/>
      <c r="B559" s="1"/>
      <c r="C559" s="1"/>
      <c r="D559" s="1"/>
    </row>
    <row r="560" ht="15.75" customHeight="1">
      <c r="A560" s="1"/>
      <c r="B560" s="1"/>
      <c r="C560" s="1"/>
      <c r="D560" s="1"/>
    </row>
    <row r="561" ht="15.75" customHeight="1">
      <c r="A561" s="1"/>
      <c r="B561" s="1"/>
      <c r="C561" s="1"/>
      <c r="D561" s="1"/>
    </row>
    <row r="562" ht="15.75" customHeight="1">
      <c r="A562" s="1"/>
      <c r="B562" s="1"/>
      <c r="C562" s="1"/>
      <c r="D562" s="1"/>
    </row>
    <row r="563" ht="15.75" customHeight="1">
      <c r="A563" s="1"/>
      <c r="B563" s="1"/>
      <c r="C563" s="1"/>
      <c r="D563" s="1"/>
    </row>
    <row r="564" ht="15.75" customHeight="1">
      <c r="A564" s="1"/>
      <c r="B564" s="1"/>
      <c r="C564" s="1"/>
      <c r="D564" s="1"/>
    </row>
    <row r="565" ht="15.75" customHeight="1">
      <c r="A565" s="1"/>
      <c r="B565" s="1"/>
      <c r="C565" s="1"/>
      <c r="D565" s="1"/>
    </row>
    <row r="566" ht="15.75" customHeight="1">
      <c r="A566" s="1"/>
      <c r="B566" s="1"/>
      <c r="C566" s="1"/>
      <c r="D566" s="1"/>
    </row>
    <row r="567" ht="15.75" customHeight="1">
      <c r="A567" s="1"/>
      <c r="B567" s="1"/>
      <c r="C567" s="1"/>
      <c r="D567" s="1"/>
    </row>
    <row r="568" ht="15.75" customHeight="1">
      <c r="A568" s="1"/>
      <c r="B568" s="1"/>
      <c r="C568" s="1"/>
      <c r="D568" s="1"/>
    </row>
    <row r="569" ht="15.75" customHeight="1">
      <c r="A569" s="1"/>
      <c r="B569" s="1"/>
      <c r="C569" s="1"/>
      <c r="D569" s="1"/>
    </row>
    <row r="570" ht="15.75" customHeight="1">
      <c r="A570" s="1"/>
      <c r="B570" s="1"/>
      <c r="C570" s="1"/>
      <c r="D570" s="1"/>
    </row>
    <row r="571" ht="15.75" customHeight="1">
      <c r="A571" s="1"/>
      <c r="B571" s="1"/>
      <c r="C571" s="1"/>
      <c r="D571" s="1"/>
    </row>
    <row r="572" ht="15.75" customHeight="1">
      <c r="A572" s="1"/>
      <c r="B572" s="1"/>
      <c r="C572" s="1"/>
      <c r="D572" s="1"/>
    </row>
    <row r="573" ht="15.75" customHeight="1">
      <c r="A573" s="1"/>
      <c r="B573" s="1"/>
      <c r="C573" s="1"/>
      <c r="D573" s="1"/>
    </row>
    <row r="574" ht="15.75" customHeight="1">
      <c r="A574" s="1"/>
      <c r="B574" s="1"/>
      <c r="C574" s="1"/>
      <c r="D574" s="1"/>
    </row>
    <row r="575" ht="15.75" customHeight="1">
      <c r="A575" s="1"/>
      <c r="B575" s="1"/>
      <c r="C575" s="1"/>
      <c r="D575" s="1"/>
    </row>
    <row r="576" ht="15.75" customHeight="1">
      <c r="A576" s="1"/>
      <c r="B576" s="1"/>
      <c r="C576" s="1"/>
      <c r="D576" s="1"/>
    </row>
    <row r="577" ht="15.75" customHeight="1">
      <c r="A577" s="1"/>
      <c r="B577" s="1"/>
      <c r="C577" s="1"/>
      <c r="D577" s="1"/>
    </row>
    <row r="578" ht="15.75" customHeight="1">
      <c r="A578" s="1"/>
      <c r="B578" s="1"/>
      <c r="C578" s="1"/>
      <c r="D578" s="1"/>
    </row>
    <row r="579" ht="15.75" customHeight="1">
      <c r="A579" s="1"/>
      <c r="B579" s="1"/>
      <c r="C579" s="1"/>
      <c r="D579" s="1"/>
    </row>
    <row r="580" ht="15.75" customHeight="1">
      <c r="A580" s="1"/>
      <c r="B580" s="1"/>
      <c r="C580" s="1"/>
      <c r="D580" s="1"/>
    </row>
    <row r="581" ht="15.75" customHeight="1">
      <c r="A581" s="1"/>
      <c r="B581" s="1"/>
      <c r="C581" s="1"/>
      <c r="D581" s="1"/>
    </row>
    <row r="582" ht="15.75" customHeight="1">
      <c r="A582" s="1"/>
      <c r="B582" s="1"/>
      <c r="C582" s="1"/>
      <c r="D582" s="1"/>
    </row>
    <row r="583" ht="15.75" customHeight="1">
      <c r="A583" s="1"/>
      <c r="B583" s="1"/>
      <c r="C583" s="1"/>
      <c r="D583" s="1"/>
    </row>
    <row r="584" ht="15.75" customHeight="1">
      <c r="A584" s="1"/>
      <c r="B584" s="1"/>
      <c r="C584" s="1"/>
      <c r="D584" s="1"/>
    </row>
    <row r="585" ht="15.75" customHeight="1">
      <c r="A585" s="1"/>
      <c r="B585" s="1"/>
      <c r="C585" s="1"/>
      <c r="D585" s="1"/>
    </row>
    <row r="586" ht="15.75" customHeight="1">
      <c r="A586" s="1"/>
      <c r="B586" s="1"/>
      <c r="C586" s="1"/>
      <c r="D586" s="1"/>
    </row>
    <row r="587" ht="15.75" customHeight="1">
      <c r="A587" s="1"/>
      <c r="B587" s="1"/>
      <c r="C587" s="1"/>
      <c r="D587" s="1"/>
    </row>
    <row r="588" ht="15.75" customHeight="1">
      <c r="A588" s="1"/>
      <c r="B588" s="1"/>
      <c r="C588" s="1"/>
      <c r="D588" s="1"/>
    </row>
    <row r="589" ht="15.75" customHeight="1">
      <c r="A589" s="1"/>
      <c r="B589" s="1"/>
      <c r="C589" s="1"/>
      <c r="D589" s="1"/>
    </row>
    <row r="590" ht="15.75" customHeight="1">
      <c r="A590" s="1"/>
      <c r="B590" s="1"/>
      <c r="C590" s="1"/>
      <c r="D590" s="1"/>
    </row>
    <row r="591" ht="15.75" customHeight="1">
      <c r="A591" s="1"/>
      <c r="B591" s="1"/>
      <c r="C591" s="1"/>
      <c r="D591" s="1"/>
    </row>
    <row r="592" ht="15.75" customHeight="1">
      <c r="A592" s="1"/>
      <c r="B592" s="1"/>
      <c r="C592" s="1"/>
      <c r="D592" s="1"/>
    </row>
    <row r="593" ht="15.75" customHeight="1">
      <c r="A593" s="1"/>
      <c r="B593" s="1"/>
      <c r="C593" s="1"/>
      <c r="D593" s="1"/>
    </row>
    <row r="594" ht="15.75" customHeight="1">
      <c r="A594" s="1"/>
      <c r="B594" s="1"/>
      <c r="C594" s="1"/>
      <c r="D594" s="1"/>
    </row>
    <row r="595" ht="15.75" customHeight="1">
      <c r="A595" s="1"/>
      <c r="B595" s="1"/>
      <c r="C595" s="1"/>
      <c r="D595" s="1"/>
    </row>
    <row r="596" ht="15.75" customHeight="1">
      <c r="A596" s="1"/>
      <c r="B596" s="1"/>
      <c r="C596" s="1"/>
      <c r="D596" s="1"/>
    </row>
    <row r="597" ht="15.75" customHeight="1">
      <c r="A597" s="1"/>
      <c r="B597" s="1"/>
      <c r="C597" s="1"/>
      <c r="D597" s="1"/>
    </row>
    <row r="598" ht="15.75" customHeight="1">
      <c r="A598" s="1"/>
      <c r="B598" s="1"/>
      <c r="C598" s="1"/>
      <c r="D598" s="1"/>
    </row>
    <row r="599" ht="15.75" customHeight="1">
      <c r="A599" s="1"/>
      <c r="B599" s="1"/>
      <c r="C599" s="1"/>
      <c r="D599" s="1"/>
    </row>
    <row r="600" ht="15.75" customHeight="1">
      <c r="A600" s="1"/>
      <c r="B600" s="1"/>
      <c r="C600" s="1"/>
      <c r="D600" s="1"/>
    </row>
    <row r="601" ht="15.75" customHeight="1">
      <c r="A601" s="1"/>
      <c r="B601" s="1"/>
      <c r="C601" s="1"/>
      <c r="D601" s="1"/>
    </row>
    <row r="602" ht="15.75" customHeight="1">
      <c r="A602" s="1"/>
      <c r="B602" s="1"/>
      <c r="C602" s="1"/>
      <c r="D602" s="1"/>
    </row>
    <row r="603" ht="15.75" customHeight="1">
      <c r="A603" s="1"/>
      <c r="B603" s="1"/>
      <c r="C603" s="1"/>
      <c r="D603" s="1"/>
    </row>
    <row r="604" ht="15.75" customHeight="1">
      <c r="A604" s="1"/>
      <c r="B604" s="1"/>
      <c r="C604" s="1"/>
      <c r="D604" s="1"/>
    </row>
    <row r="605" ht="15.75" customHeight="1">
      <c r="A605" s="1"/>
      <c r="B605" s="1"/>
      <c r="C605" s="1"/>
      <c r="D605" s="1"/>
    </row>
    <row r="606" ht="15.75" customHeight="1">
      <c r="A606" s="1"/>
      <c r="B606" s="1"/>
      <c r="C606" s="1"/>
      <c r="D606" s="1"/>
    </row>
    <row r="607" ht="15.75" customHeight="1">
      <c r="A607" s="1"/>
      <c r="B607" s="1"/>
      <c r="C607" s="1"/>
      <c r="D607" s="1"/>
    </row>
    <row r="608" ht="15.75" customHeight="1">
      <c r="A608" s="1"/>
      <c r="B608" s="1"/>
      <c r="C608" s="1"/>
      <c r="D608" s="1"/>
    </row>
    <row r="609" ht="15.75" customHeight="1">
      <c r="A609" s="1"/>
      <c r="B609" s="1"/>
      <c r="C609" s="1"/>
      <c r="D609" s="1"/>
    </row>
    <row r="610" ht="15.75" customHeight="1">
      <c r="A610" s="1"/>
      <c r="B610" s="1"/>
      <c r="C610" s="1"/>
      <c r="D610" s="1"/>
    </row>
    <row r="611" ht="15.75" customHeight="1">
      <c r="A611" s="1"/>
      <c r="B611" s="1"/>
      <c r="C611" s="1"/>
      <c r="D611" s="1"/>
    </row>
    <row r="612" ht="15.75" customHeight="1">
      <c r="A612" s="1"/>
      <c r="B612" s="1"/>
      <c r="C612" s="1"/>
      <c r="D612" s="1"/>
    </row>
    <row r="613" ht="15.75" customHeight="1">
      <c r="A613" s="1"/>
      <c r="B613" s="1"/>
      <c r="C613" s="1"/>
      <c r="D613" s="1"/>
    </row>
    <row r="614" ht="15.75" customHeight="1">
      <c r="A614" s="1"/>
      <c r="B614" s="1"/>
      <c r="C614" s="1"/>
      <c r="D614" s="1"/>
    </row>
    <row r="615" ht="15.75" customHeight="1">
      <c r="A615" s="1"/>
      <c r="B615" s="1"/>
      <c r="C615" s="1"/>
      <c r="D615" s="1"/>
    </row>
    <row r="616" ht="15.75" customHeight="1">
      <c r="A616" s="1"/>
      <c r="B616" s="1"/>
      <c r="C616" s="1"/>
      <c r="D616" s="1"/>
    </row>
    <row r="617" ht="15.75" customHeight="1">
      <c r="A617" s="1"/>
      <c r="B617" s="1"/>
      <c r="C617" s="1"/>
      <c r="D617" s="1"/>
    </row>
    <row r="618" ht="15.75" customHeight="1">
      <c r="A618" s="1"/>
      <c r="B618" s="1"/>
      <c r="C618" s="1"/>
      <c r="D618" s="1"/>
    </row>
    <row r="619" ht="15.75" customHeight="1">
      <c r="A619" s="1"/>
      <c r="B619" s="1"/>
      <c r="C619" s="1"/>
      <c r="D619" s="1"/>
    </row>
    <row r="620" ht="15.75" customHeight="1">
      <c r="A620" s="1"/>
      <c r="B620" s="1"/>
      <c r="C620" s="1"/>
      <c r="D620" s="1"/>
    </row>
    <row r="621" ht="15.75" customHeight="1">
      <c r="A621" s="1"/>
      <c r="B621" s="1"/>
      <c r="C621" s="1"/>
      <c r="D621" s="1"/>
    </row>
    <row r="622" ht="15.75" customHeight="1">
      <c r="A622" s="1"/>
      <c r="B622" s="1"/>
      <c r="C622" s="1"/>
      <c r="D622" s="1"/>
    </row>
    <row r="623" ht="15.75" customHeight="1">
      <c r="A623" s="1"/>
      <c r="B623" s="1"/>
      <c r="C623" s="1"/>
      <c r="D623" s="1"/>
    </row>
    <row r="624" ht="15.75" customHeight="1">
      <c r="A624" s="1"/>
      <c r="B624" s="1"/>
      <c r="C624" s="1"/>
      <c r="D624" s="1"/>
    </row>
    <row r="625" ht="15.75" customHeight="1">
      <c r="A625" s="1"/>
      <c r="B625" s="1"/>
      <c r="C625" s="1"/>
      <c r="D625" s="1"/>
    </row>
    <row r="626" ht="15.75" customHeight="1">
      <c r="A626" s="1"/>
      <c r="B626" s="1"/>
      <c r="C626" s="1"/>
      <c r="D626" s="1"/>
    </row>
    <row r="627" ht="15.75" customHeight="1">
      <c r="A627" s="1"/>
      <c r="B627" s="1"/>
      <c r="C627" s="1"/>
      <c r="D627" s="1"/>
    </row>
    <row r="628" ht="15.75" customHeight="1">
      <c r="A628" s="1"/>
      <c r="B628" s="1"/>
      <c r="C628" s="1"/>
      <c r="D628" s="1"/>
    </row>
    <row r="629" ht="15.75" customHeight="1">
      <c r="A629" s="1"/>
      <c r="B629" s="1"/>
      <c r="C629" s="1"/>
      <c r="D629" s="1"/>
    </row>
    <row r="630" ht="15.75" customHeight="1">
      <c r="A630" s="1"/>
      <c r="B630" s="1"/>
      <c r="C630" s="1"/>
      <c r="D630" s="1"/>
    </row>
    <row r="631" ht="15.75" customHeight="1">
      <c r="A631" s="1"/>
      <c r="B631" s="1"/>
      <c r="C631" s="1"/>
      <c r="D631" s="1"/>
    </row>
    <row r="632" ht="15.75" customHeight="1">
      <c r="A632" s="1"/>
      <c r="B632" s="1"/>
      <c r="C632" s="1"/>
      <c r="D632" s="1"/>
    </row>
    <row r="633" ht="15.75" customHeight="1">
      <c r="A633" s="1"/>
      <c r="B633" s="1"/>
      <c r="C633" s="1"/>
      <c r="D633" s="1"/>
    </row>
    <row r="634" ht="15.75" customHeight="1">
      <c r="A634" s="1"/>
      <c r="B634" s="1"/>
      <c r="C634" s="1"/>
      <c r="D634" s="1"/>
    </row>
    <row r="635" ht="15.75" customHeight="1">
      <c r="A635" s="1"/>
      <c r="B635" s="1"/>
      <c r="C635" s="1"/>
      <c r="D635" s="1"/>
    </row>
    <row r="636" ht="15.75" customHeight="1">
      <c r="A636" s="1"/>
      <c r="B636" s="1"/>
      <c r="C636" s="1"/>
      <c r="D636" s="1"/>
    </row>
    <row r="637" ht="15.75" customHeight="1">
      <c r="A637" s="1"/>
      <c r="B637" s="1"/>
      <c r="C637" s="1"/>
      <c r="D637" s="1"/>
    </row>
    <row r="638" ht="15.75" customHeight="1">
      <c r="A638" s="1"/>
      <c r="B638" s="1"/>
      <c r="C638" s="1"/>
      <c r="D638" s="1"/>
    </row>
    <row r="639" ht="15.75" customHeight="1">
      <c r="A639" s="1"/>
      <c r="B639" s="1"/>
      <c r="C639" s="1"/>
      <c r="D639" s="1"/>
    </row>
    <row r="640" ht="15.75" customHeight="1">
      <c r="A640" s="1"/>
      <c r="B640" s="1"/>
      <c r="C640" s="1"/>
      <c r="D640" s="1"/>
    </row>
    <row r="641" ht="15.75" customHeight="1">
      <c r="A641" s="1"/>
      <c r="B641" s="1"/>
      <c r="C641" s="1"/>
      <c r="D641" s="1"/>
    </row>
    <row r="642" ht="15.75" customHeight="1">
      <c r="A642" s="1"/>
      <c r="B642" s="1"/>
      <c r="C642" s="1"/>
      <c r="D642" s="1"/>
    </row>
    <row r="643" ht="15.75" customHeight="1">
      <c r="A643" s="1"/>
      <c r="B643" s="1"/>
      <c r="C643" s="1"/>
      <c r="D643" s="1"/>
    </row>
    <row r="644" ht="15.75" customHeight="1">
      <c r="A644" s="1"/>
      <c r="B644" s="1"/>
      <c r="C644" s="1"/>
      <c r="D644" s="1"/>
    </row>
    <row r="645" ht="15.75" customHeight="1">
      <c r="A645" s="1"/>
      <c r="B645" s="1"/>
      <c r="C645" s="1"/>
      <c r="D645" s="1"/>
    </row>
    <row r="646" ht="15.75" customHeight="1">
      <c r="A646" s="1"/>
      <c r="B646" s="1"/>
      <c r="C646" s="1"/>
      <c r="D646" s="1"/>
    </row>
    <row r="647" ht="15.75" customHeight="1">
      <c r="A647" s="1"/>
      <c r="B647" s="1"/>
      <c r="C647" s="1"/>
      <c r="D647" s="1"/>
    </row>
    <row r="648" ht="15.75" customHeight="1">
      <c r="A648" s="1"/>
      <c r="B648" s="1"/>
      <c r="C648" s="1"/>
      <c r="D648" s="1"/>
    </row>
    <row r="649" ht="15.75" customHeight="1">
      <c r="A649" s="1"/>
      <c r="B649" s="1"/>
      <c r="C649" s="1"/>
      <c r="D649" s="1"/>
    </row>
    <row r="650" ht="15.75" customHeight="1">
      <c r="A650" s="1"/>
      <c r="B650" s="1"/>
      <c r="C650" s="1"/>
      <c r="D650" s="1"/>
    </row>
    <row r="651" ht="15.75" customHeight="1">
      <c r="A651" s="1"/>
      <c r="B651" s="1"/>
      <c r="C651" s="1"/>
      <c r="D651" s="1"/>
    </row>
    <row r="652" ht="15.75" customHeight="1">
      <c r="A652" s="1"/>
      <c r="B652" s="1"/>
      <c r="C652" s="1"/>
      <c r="D652" s="1"/>
    </row>
    <row r="653" ht="15.75" customHeight="1">
      <c r="A653" s="1"/>
      <c r="B653" s="1"/>
      <c r="C653" s="1"/>
      <c r="D653" s="1"/>
    </row>
    <row r="654" ht="15.75" customHeight="1">
      <c r="A654" s="1"/>
      <c r="B654" s="1"/>
      <c r="C654" s="1"/>
      <c r="D654" s="1"/>
    </row>
    <row r="655" ht="15.75" customHeight="1">
      <c r="A655" s="1"/>
      <c r="B655" s="1"/>
      <c r="C655" s="1"/>
      <c r="D655" s="1"/>
    </row>
    <row r="656" ht="15.75" customHeight="1">
      <c r="A656" s="1"/>
      <c r="B656" s="1"/>
      <c r="C656" s="1"/>
      <c r="D656" s="1"/>
    </row>
    <row r="657" ht="15.75" customHeight="1">
      <c r="A657" s="1"/>
      <c r="B657" s="1"/>
      <c r="C657" s="1"/>
      <c r="D657" s="1"/>
    </row>
    <row r="658" ht="15.75" customHeight="1">
      <c r="A658" s="1"/>
      <c r="B658" s="1"/>
      <c r="C658" s="1"/>
      <c r="D658" s="1"/>
    </row>
    <row r="659" ht="15.75" customHeight="1">
      <c r="A659" s="1"/>
      <c r="B659" s="1"/>
      <c r="C659" s="1"/>
      <c r="D659" s="1"/>
    </row>
    <row r="660" ht="15.75" customHeight="1">
      <c r="A660" s="1"/>
      <c r="B660" s="1"/>
      <c r="C660" s="1"/>
      <c r="D660" s="1"/>
    </row>
    <row r="661" ht="15.75" customHeight="1">
      <c r="A661" s="1"/>
      <c r="B661" s="1"/>
      <c r="C661" s="1"/>
      <c r="D661" s="1"/>
    </row>
    <row r="662" ht="15.75" customHeight="1">
      <c r="A662" s="1"/>
      <c r="B662" s="1"/>
      <c r="C662" s="1"/>
      <c r="D662" s="1"/>
    </row>
    <row r="663" ht="15.75" customHeight="1">
      <c r="A663" s="1"/>
      <c r="B663" s="1"/>
      <c r="C663" s="1"/>
      <c r="D663" s="1"/>
    </row>
    <row r="664" ht="15.75" customHeight="1">
      <c r="A664" s="1"/>
      <c r="B664" s="1"/>
      <c r="C664" s="1"/>
      <c r="D664" s="1"/>
    </row>
    <row r="665" ht="15.75" customHeight="1">
      <c r="A665" s="1"/>
      <c r="B665" s="1"/>
      <c r="C665" s="1"/>
      <c r="D665" s="1"/>
    </row>
    <row r="666" ht="15.75" customHeight="1">
      <c r="A666" s="1"/>
      <c r="B666" s="1"/>
      <c r="C666" s="1"/>
      <c r="D666" s="1"/>
    </row>
    <row r="667" ht="15.75" customHeight="1">
      <c r="A667" s="1"/>
      <c r="B667" s="1"/>
      <c r="C667" s="1"/>
      <c r="D667" s="1"/>
    </row>
    <row r="668" ht="15.75" customHeight="1">
      <c r="A668" s="1"/>
      <c r="B668" s="1"/>
      <c r="C668" s="1"/>
      <c r="D668" s="1"/>
    </row>
    <row r="669" ht="15.75" customHeight="1">
      <c r="A669" s="1"/>
      <c r="B669" s="1"/>
      <c r="C669" s="1"/>
      <c r="D669" s="1"/>
    </row>
    <row r="670" ht="15.75" customHeight="1">
      <c r="A670" s="1"/>
      <c r="B670" s="1"/>
      <c r="C670" s="1"/>
      <c r="D670" s="1"/>
    </row>
    <row r="671" ht="15.75" customHeight="1">
      <c r="A671" s="1"/>
      <c r="B671" s="1"/>
      <c r="C671" s="1"/>
      <c r="D671" s="1"/>
    </row>
    <row r="672" ht="15.75" customHeight="1">
      <c r="A672" s="1"/>
      <c r="B672" s="1"/>
      <c r="C672" s="1"/>
      <c r="D672" s="1"/>
    </row>
    <row r="673" ht="15.75" customHeight="1">
      <c r="A673" s="1"/>
      <c r="B673" s="1"/>
      <c r="C673" s="1"/>
      <c r="D673" s="1"/>
    </row>
    <row r="674" ht="15.75" customHeight="1">
      <c r="A674" s="1"/>
      <c r="B674" s="1"/>
      <c r="C674" s="1"/>
      <c r="D674" s="1"/>
    </row>
    <row r="675" ht="15.75" customHeight="1">
      <c r="A675" s="1"/>
      <c r="B675" s="1"/>
      <c r="C675" s="1"/>
      <c r="D675" s="1"/>
    </row>
    <row r="676" ht="15.75" customHeight="1">
      <c r="A676" s="1"/>
      <c r="B676" s="1"/>
      <c r="C676" s="1"/>
      <c r="D676" s="1"/>
    </row>
    <row r="677" ht="15.75" customHeight="1">
      <c r="A677" s="1"/>
      <c r="B677" s="1"/>
      <c r="C677" s="1"/>
      <c r="D677" s="1"/>
    </row>
    <row r="678" ht="15.75" customHeight="1">
      <c r="A678" s="1"/>
      <c r="B678" s="1"/>
      <c r="C678" s="1"/>
      <c r="D678" s="1"/>
    </row>
    <row r="679" ht="15.75" customHeight="1">
      <c r="A679" s="1"/>
      <c r="B679" s="1"/>
      <c r="C679" s="1"/>
      <c r="D679" s="1"/>
    </row>
    <row r="680" ht="15.75" customHeight="1">
      <c r="A680" s="1"/>
      <c r="B680" s="1"/>
      <c r="C680" s="1"/>
      <c r="D680" s="1"/>
    </row>
    <row r="681" ht="15.75" customHeight="1">
      <c r="A681" s="1"/>
      <c r="B681" s="1"/>
      <c r="C681" s="1"/>
      <c r="D681" s="1"/>
    </row>
    <row r="682" ht="15.75" customHeight="1">
      <c r="A682" s="1"/>
      <c r="B682" s="1"/>
      <c r="C682" s="1"/>
      <c r="D682" s="1"/>
    </row>
    <row r="683" ht="15.75" customHeight="1">
      <c r="A683" s="1"/>
      <c r="B683" s="1"/>
      <c r="C683" s="1"/>
      <c r="D683" s="1"/>
    </row>
    <row r="684" ht="15.75" customHeight="1">
      <c r="A684" s="1"/>
      <c r="B684" s="1"/>
      <c r="C684" s="1"/>
      <c r="D684" s="1"/>
    </row>
    <row r="685" ht="15.75" customHeight="1">
      <c r="A685" s="1"/>
      <c r="B685" s="1"/>
      <c r="C685" s="1"/>
      <c r="D685" s="1"/>
    </row>
    <row r="686" ht="15.75" customHeight="1">
      <c r="A686" s="1"/>
      <c r="B686" s="1"/>
      <c r="C686" s="1"/>
      <c r="D686" s="1"/>
    </row>
    <row r="687" ht="15.75" customHeight="1">
      <c r="A687" s="1"/>
      <c r="B687" s="1"/>
      <c r="C687" s="1"/>
      <c r="D687" s="1"/>
    </row>
    <row r="688" ht="15.75" customHeight="1">
      <c r="A688" s="1"/>
      <c r="B688" s="1"/>
      <c r="C688" s="1"/>
      <c r="D688" s="1"/>
    </row>
    <row r="689" ht="15.75" customHeight="1">
      <c r="A689" s="1"/>
      <c r="B689" s="1"/>
      <c r="C689" s="1"/>
      <c r="D689" s="1"/>
    </row>
    <row r="690" ht="15.75" customHeight="1">
      <c r="A690" s="1"/>
      <c r="B690" s="1"/>
      <c r="C690" s="1"/>
      <c r="D690" s="1"/>
    </row>
    <row r="691" ht="15.75" customHeight="1">
      <c r="A691" s="1"/>
      <c r="B691" s="1"/>
      <c r="C691" s="1"/>
      <c r="D691" s="1"/>
    </row>
    <row r="692" ht="15.75" customHeight="1">
      <c r="A692" s="1"/>
      <c r="B692" s="1"/>
      <c r="C692" s="1"/>
      <c r="D692" s="1"/>
    </row>
    <row r="693" ht="15.75" customHeight="1">
      <c r="A693" s="1"/>
      <c r="B693" s="1"/>
      <c r="C693" s="1"/>
      <c r="D693" s="1"/>
    </row>
    <row r="694" ht="15.75" customHeight="1">
      <c r="A694" s="1"/>
      <c r="B694" s="1"/>
      <c r="C694" s="1"/>
      <c r="D694" s="1"/>
    </row>
    <row r="695" ht="15.75" customHeight="1">
      <c r="A695" s="1"/>
      <c r="B695" s="1"/>
      <c r="C695" s="1"/>
      <c r="D695" s="1"/>
    </row>
    <row r="696" ht="15.75" customHeight="1">
      <c r="A696" s="1"/>
      <c r="B696" s="1"/>
      <c r="C696" s="1"/>
      <c r="D696" s="1"/>
    </row>
    <row r="697" ht="15.75" customHeight="1">
      <c r="A697" s="1"/>
      <c r="B697" s="1"/>
      <c r="C697" s="1"/>
      <c r="D697" s="1"/>
    </row>
    <row r="698" ht="15.75" customHeight="1">
      <c r="A698" s="1"/>
      <c r="B698" s="1"/>
      <c r="C698" s="1"/>
      <c r="D698" s="1"/>
    </row>
    <row r="699" ht="15.75" customHeight="1">
      <c r="A699" s="1"/>
      <c r="B699" s="1"/>
      <c r="C699" s="1"/>
      <c r="D699" s="1"/>
    </row>
    <row r="700" ht="15.75" customHeight="1">
      <c r="A700" s="1"/>
      <c r="B700" s="1"/>
      <c r="C700" s="1"/>
      <c r="D700" s="1"/>
    </row>
    <row r="701" ht="15.75" customHeight="1">
      <c r="A701" s="1"/>
      <c r="B701" s="1"/>
      <c r="C701" s="1"/>
      <c r="D701" s="1"/>
    </row>
    <row r="702" ht="15.75" customHeight="1">
      <c r="A702" s="1"/>
      <c r="B702" s="1"/>
      <c r="C702" s="1"/>
      <c r="D702" s="1"/>
    </row>
    <row r="703" ht="15.75" customHeight="1">
      <c r="A703" s="1"/>
      <c r="B703" s="1"/>
      <c r="C703" s="1"/>
      <c r="D703" s="1"/>
    </row>
    <row r="704" ht="15.75" customHeight="1">
      <c r="A704" s="1"/>
      <c r="B704" s="1"/>
      <c r="C704" s="1"/>
      <c r="D704" s="1"/>
    </row>
    <row r="705" ht="15.75" customHeight="1">
      <c r="A705" s="1"/>
      <c r="B705" s="1"/>
      <c r="C705" s="1"/>
      <c r="D705" s="1"/>
    </row>
    <row r="706" ht="15.75" customHeight="1">
      <c r="A706" s="1"/>
      <c r="B706" s="1"/>
      <c r="C706" s="1"/>
      <c r="D706" s="1"/>
    </row>
    <row r="707" ht="15.75" customHeight="1">
      <c r="A707" s="1"/>
      <c r="B707" s="1"/>
      <c r="C707" s="1"/>
      <c r="D707" s="1"/>
    </row>
    <row r="708" ht="15.75" customHeight="1">
      <c r="A708" s="1"/>
      <c r="B708" s="1"/>
      <c r="C708" s="1"/>
      <c r="D708" s="1"/>
    </row>
    <row r="709" ht="15.75" customHeight="1">
      <c r="A709" s="1"/>
      <c r="B709" s="1"/>
      <c r="C709" s="1"/>
      <c r="D709" s="1"/>
    </row>
    <row r="710" ht="15.75" customHeight="1">
      <c r="A710" s="1"/>
      <c r="B710" s="1"/>
      <c r="C710" s="1"/>
      <c r="D710" s="1"/>
    </row>
    <row r="711" ht="15.75" customHeight="1">
      <c r="A711" s="1"/>
      <c r="B711" s="1"/>
      <c r="C711" s="1"/>
      <c r="D711" s="1"/>
    </row>
    <row r="712" ht="15.75" customHeight="1">
      <c r="A712" s="1"/>
      <c r="B712" s="1"/>
      <c r="C712" s="1"/>
      <c r="D712" s="1"/>
    </row>
    <row r="713" ht="15.75" customHeight="1">
      <c r="A713" s="1"/>
      <c r="B713" s="1"/>
      <c r="C713" s="1"/>
      <c r="D713" s="1"/>
    </row>
    <row r="714" ht="15.75" customHeight="1">
      <c r="A714" s="1"/>
      <c r="B714" s="1"/>
      <c r="C714" s="1"/>
      <c r="D714" s="1"/>
    </row>
    <row r="715" ht="15.75" customHeight="1">
      <c r="A715" s="1"/>
      <c r="B715" s="1"/>
      <c r="C715" s="1"/>
      <c r="D715" s="1"/>
    </row>
    <row r="716" ht="15.75" customHeight="1">
      <c r="A716" s="1"/>
      <c r="B716" s="1"/>
      <c r="C716" s="1"/>
      <c r="D716" s="1"/>
    </row>
    <row r="717" ht="15.75" customHeight="1">
      <c r="A717" s="1"/>
      <c r="B717" s="1"/>
      <c r="C717" s="1"/>
      <c r="D717" s="1"/>
    </row>
    <row r="718" ht="15.75" customHeight="1">
      <c r="A718" s="1"/>
      <c r="B718" s="1"/>
      <c r="C718" s="1"/>
      <c r="D718" s="1"/>
    </row>
    <row r="719" ht="15.75" customHeight="1">
      <c r="A719" s="1"/>
      <c r="B719" s="1"/>
      <c r="C719" s="1"/>
      <c r="D719" s="1"/>
    </row>
    <row r="720" ht="15.75" customHeight="1">
      <c r="A720" s="1"/>
      <c r="B720" s="1"/>
      <c r="C720" s="1"/>
      <c r="D720" s="1"/>
    </row>
    <row r="721" ht="15.75" customHeight="1">
      <c r="A721" s="1"/>
      <c r="B721" s="1"/>
      <c r="C721" s="1"/>
      <c r="D721" s="1"/>
    </row>
    <row r="722" ht="15.75" customHeight="1">
      <c r="A722" s="1"/>
      <c r="B722" s="1"/>
      <c r="C722" s="1"/>
      <c r="D722" s="1"/>
    </row>
    <row r="723" ht="15.75" customHeight="1">
      <c r="A723" s="1"/>
      <c r="B723" s="1"/>
      <c r="C723" s="1"/>
      <c r="D723" s="1"/>
    </row>
    <row r="724" ht="15.75" customHeight="1">
      <c r="A724" s="1"/>
      <c r="B724" s="1"/>
      <c r="C724" s="1"/>
      <c r="D724" s="1"/>
    </row>
    <row r="725" ht="15.75" customHeight="1">
      <c r="A725" s="1"/>
      <c r="B725" s="1"/>
      <c r="C725" s="1"/>
      <c r="D725" s="1"/>
    </row>
    <row r="726" ht="15.75" customHeight="1">
      <c r="A726" s="1"/>
      <c r="B726" s="1"/>
      <c r="C726" s="1"/>
      <c r="D726" s="1"/>
    </row>
    <row r="727" ht="15.75" customHeight="1">
      <c r="A727" s="1"/>
      <c r="B727" s="1"/>
      <c r="C727" s="1"/>
      <c r="D727" s="1"/>
    </row>
    <row r="728" ht="15.75" customHeight="1">
      <c r="A728" s="1"/>
      <c r="B728" s="1"/>
      <c r="C728" s="1"/>
      <c r="D728" s="1"/>
    </row>
    <row r="729" ht="15.75" customHeight="1">
      <c r="A729" s="1"/>
      <c r="B729" s="1"/>
      <c r="C729" s="1"/>
      <c r="D729" s="1"/>
    </row>
    <row r="730" ht="15.75" customHeight="1">
      <c r="A730" s="1"/>
      <c r="B730" s="1"/>
      <c r="C730" s="1"/>
      <c r="D730" s="1"/>
    </row>
    <row r="731" ht="15.75" customHeight="1">
      <c r="A731" s="1"/>
      <c r="B731" s="1"/>
      <c r="C731" s="1"/>
      <c r="D731" s="1"/>
    </row>
    <row r="732" ht="15.75" customHeight="1">
      <c r="A732" s="1"/>
      <c r="B732" s="1"/>
      <c r="C732" s="1"/>
      <c r="D732" s="1"/>
    </row>
    <row r="733" ht="15.75" customHeight="1">
      <c r="A733" s="1"/>
      <c r="B733" s="1"/>
      <c r="C733" s="1"/>
      <c r="D733" s="1"/>
    </row>
    <row r="734" ht="15.75" customHeight="1">
      <c r="A734" s="1"/>
      <c r="B734" s="1"/>
      <c r="C734" s="1"/>
      <c r="D734" s="1"/>
    </row>
    <row r="735" ht="15.75" customHeight="1">
      <c r="A735" s="1"/>
      <c r="B735" s="1"/>
      <c r="C735" s="1"/>
      <c r="D735" s="1"/>
    </row>
    <row r="736" ht="15.75" customHeight="1">
      <c r="A736" s="1"/>
      <c r="B736" s="1"/>
      <c r="C736" s="1"/>
      <c r="D736" s="1"/>
    </row>
    <row r="737" ht="15.75" customHeight="1">
      <c r="A737" s="1"/>
      <c r="B737" s="1"/>
      <c r="C737" s="1"/>
      <c r="D737" s="1"/>
    </row>
    <row r="738" ht="15.75" customHeight="1">
      <c r="A738" s="1"/>
      <c r="B738" s="1"/>
      <c r="C738" s="1"/>
      <c r="D738" s="1"/>
    </row>
    <row r="739" ht="15.75" customHeight="1">
      <c r="A739" s="1"/>
      <c r="B739" s="1"/>
      <c r="C739" s="1"/>
      <c r="D739" s="1"/>
    </row>
    <row r="740" ht="15.75" customHeight="1">
      <c r="A740" s="1"/>
      <c r="B740" s="1"/>
      <c r="C740" s="1"/>
      <c r="D740" s="1"/>
    </row>
    <row r="741" ht="15.75" customHeight="1">
      <c r="A741" s="1"/>
      <c r="B741" s="1"/>
      <c r="C741" s="1"/>
      <c r="D741" s="1"/>
    </row>
    <row r="742" ht="15.75" customHeight="1">
      <c r="A742" s="1"/>
      <c r="B742" s="1"/>
      <c r="C742" s="1"/>
      <c r="D742" s="1"/>
    </row>
    <row r="743" ht="15.75" customHeight="1">
      <c r="A743" s="1"/>
      <c r="B743" s="1"/>
      <c r="C743" s="1"/>
      <c r="D743" s="1"/>
    </row>
    <row r="744" ht="15.75" customHeight="1">
      <c r="A744" s="1"/>
      <c r="B744" s="1"/>
      <c r="C744" s="1"/>
      <c r="D744" s="1"/>
    </row>
    <row r="745" ht="15.75" customHeight="1">
      <c r="A745" s="1"/>
      <c r="B745" s="1"/>
      <c r="C745" s="1"/>
      <c r="D745" s="1"/>
    </row>
    <row r="746" ht="15.75" customHeight="1">
      <c r="A746" s="1"/>
      <c r="B746" s="1"/>
      <c r="C746" s="1"/>
      <c r="D746" s="1"/>
    </row>
    <row r="747" ht="15.75" customHeight="1">
      <c r="A747" s="1"/>
      <c r="B747" s="1"/>
      <c r="C747" s="1"/>
      <c r="D747" s="1"/>
    </row>
    <row r="748" ht="15.75" customHeight="1">
      <c r="A748" s="1"/>
      <c r="B748" s="1"/>
      <c r="C748" s="1"/>
      <c r="D748" s="1"/>
    </row>
    <row r="749" ht="15.75" customHeight="1">
      <c r="A749" s="1"/>
      <c r="B749" s="1"/>
      <c r="C749" s="1"/>
      <c r="D749" s="1"/>
    </row>
    <row r="750" ht="15.75" customHeight="1">
      <c r="A750" s="1"/>
      <c r="B750" s="1"/>
      <c r="C750" s="1"/>
      <c r="D750" s="1"/>
    </row>
    <row r="751" ht="15.75" customHeight="1">
      <c r="A751" s="1"/>
      <c r="B751" s="1"/>
      <c r="C751" s="1"/>
      <c r="D751" s="1"/>
    </row>
    <row r="752" ht="15.75" customHeight="1">
      <c r="A752" s="1"/>
      <c r="B752" s="1"/>
      <c r="C752" s="1"/>
      <c r="D752" s="1"/>
    </row>
    <row r="753" ht="15.75" customHeight="1">
      <c r="A753" s="1"/>
      <c r="B753" s="1"/>
      <c r="C753" s="1"/>
      <c r="D753" s="1"/>
    </row>
    <row r="754" ht="15.75" customHeight="1">
      <c r="A754" s="1"/>
      <c r="B754" s="1"/>
      <c r="C754" s="1"/>
      <c r="D754" s="1"/>
    </row>
    <row r="755" ht="15.75" customHeight="1">
      <c r="A755" s="1"/>
      <c r="B755" s="1"/>
      <c r="C755" s="1"/>
      <c r="D755" s="1"/>
    </row>
    <row r="756" ht="15.75" customHeight="1">
      <c r="A756" s="1"/>
      <c r="B756" s="1"/>
      <c r="C756" s="1"/>
      <c r="D756" s="1"/>
    </row>
    <row r="757" ht="15.75" customHeight="1">
      <c r="A757" s="1"/>
      <c r="B757" s="1"/>
      <c r="C757" s="1"/>
      <c r="D757" s="1"/>
    </row>
    <row r="758" ht="15.75" customHeight="1">
      <c r="A758" s="1"/>
      <c r="B758" s="1"/>
      <c r="C758" s="1"/>
      <c r="D758" s="1"/>
    </row>
    <row r="759" ht="15.75" customHeight="1">
      <c r="A759" s="1"/>
      <c r="B759" s="1"/>
      <c r="C759" s="1"/>
      <c r="D759" s="1"/>
    </row>
    <row r="760" ht="15.75" customHeight="1">
      <c r="A760" s="1"/>
      <c r="B760" s="1"/>
      <c r="C760" s="1"/>
      <c r="D760" s="1"/>
    </row>
    <row r="761" ht="15.75" customHeight="1">
      <c r="A761" s="1"/>
      <c r="B761" s="1"/>
      <c r="C761" s="1"/>
      <c r="D761" s="1"/>
    </row>
    <row r="762" ht="15.75" customHeight="1">
      <c r="A762" s="1"/>
      <c r="B762" s="1"/>
      <c r="C762" s="1"/>
      <c r="D762" s="1"/>
    </row>
    <row r="763" ht="15.75" customHeight="1">
      <c r="A763" s="1"/>
      <c r="B763" s="1"/>
      <c r="C763" s="1"/>
      <c r="D763" s="1"/>
    </row>
    <row r="764" ht="15.75" customHeight="1">
      <c r="A764" s="1"/>
      <c r="B764" s="1"/>
      <c r="C764" s="1"/>
      <c r="D764" s="1"/>
    </row>
    <row r="765" ht="15.75" customHeight="1">
      <c r="A765" s="1"/>
      <c r="B765" s="1"/>
      <c r="C765" s="1"/>
      <c r="D765" s="1"/>
    </row>
    <row r="766" ht="15.75" customHeight="1">
      <c r="A766" s="1"/>
      <c r="B766" s="1"/>
      <c r="C766" s="1"/>
      <c r="D766" s="1"/>
    </row>
    <row r="767" ht="15.75" customHeight="1">
      <c r="A767" s="1"/>
      <c r="B767" s="1"/>
      <c r="C767" s="1"/>
      <c r="D767" s="1"/>
    </row>
    <row r="768" ht="15.75" customHeight="1">
      <c r="A768" s="1"/>
      <c r="B768" s="1"/>
      <c r="C768" s="1"/>
      <c r="D768" s="1"/>
    </row>
    <row r="769" ht="15.75" customHeight="1">
      <c r="A769" s="1"/>
      <c r="B769" s="1"/>
      <c r="C769" s="1"/>
      <c r="D769" s="1"/>
    </row>
    <row r="770" ht="15.75" customHeight="1">
      <c r="A770" s="1"/>
      <c r="B770" s="1"/>
      <c r="C770" s="1"/>
      <c r="D770" s="1"/>
    </row>
    <row r="771" ht="15.75" customHeight="1">
      <c r="A771" s="1"/>
      <c r="B771" s="1"/>
      <c r="C771" s="1"/>
      <c r="D771" s="1"/>
    </row>
    <row r="772" ht="15.75" customHeight="1">
      <c r="A772" s="1"/>
      <c r="B772" s="1"/>
      <c r="C772" s="1"/>
      <c r="D772" s="1"/>
    </row>
    <row r="773" ht="15.75" customHeight="1">
      <c r="A773" s="1"/>
      <c r="B773" s="1"/>
      <c r="C773" s="1"/>
      <c r="D773" s="1"/>
    </row>
    <row r="774" ht="15.75" customHeight="1">
      <c r="A774" s="1"/>
      <c r="B774" s="1"/>
      <c r="C774" s="1"/>
      <c r="D774" s="1"/>
    </row>
    <row r="775" ht="15.75" customHeight="1">
      <c r="A775" s="1"/>
      <c r="B775" s="1"/>
      <c r="C775" s="1"/>
      <c r="D775" s="1"/>
    </row>
    <row r="776" ht="15.75" customHeight="1">
      <c r="A776" s="1"/>
      <c r="B776" s="1"/>
      <c r="C776" s="1"/>
      <c r="D776" s="1"/>
    </row>
    <row r="777" ht="15.75" customHeight="1">
      <c r="A777" s="1"/>
      <c r="B777" s="1"/>
      <c r="C777" s="1"/>
      <c r="D777" s="1"/>
    </row>
    <row r="778" ht="15.75" customHeight="1">
      <c r="A778" s="1"/>
      <c r="B778" s="1"/>
      <c r="C778" s="1"/>
      <c r="D778" s="1"/>
    </row>
    <row r="779" ht="15.75" customHeight="1">
      <c r="A779" s="1"/>
      <c r="B779" s="1"/>
      <c r="C779" s="1"/>
      <c r="D779" s="1"/>
    </row>
    <row r="780" ht="15.75" customHeight="1">
      <c r="A780" s="1"/>
      <c r="B780" s="1"/>
      <c r="C780" s="1"/>
      <c r="D780" s="1"/>
    </row>
    <row r="781" ht="15.75" customHeight="1">
      <c r="A781" s="1"/>
      <c r="B781" s="1"/>
      <c r="C781" s="1"/>
      <c r="D781" s="1"/>
    </row>
    <row r="782" ht="15.75" customHeight="1">
      <c r="A782" s="1"/>
      <c r="B782" s="1"/>
      <c r="C782" s="1"/>
      <c r="D782" s="1"/>
    </row>
    <row r="783" ht="15.75" customHeight="1">
      <c r="A783" s="1"/>
      <c r="B783" s="1"/>
      <c r="C783" s="1"/>
      <c r="D783" s="1"/>
    </row>
    <row r="784" ht="15.75" customHeight="1">
      <c r="A784" s="1"/>
      <c r="B784" s="1"/>
      <c r="C784" s="1"/>
      <c r="D784" s="1"/>
    </row>
    <row r="785" ht="15.75" customHeight="1">
      <c r="A785" s="1"/>
      <c r="B785" s="1"/>
      <c r="C785" s="1"/>
      <c r="D785" s="1"/>
    </row>
    <row r="786" ht="15.75" customHeight="1">
      <c r="A786" s="1"/>
      <c r="B786" s="1"/>
      <c r="C786" s="1"/>
      <c r="D786" s="1"/>
    </row>
    <row r="787" ht="15.75" customHeight="1">
      <c r="A787" s="1"/>
      <c r="B787" s="1"/>
      <c r="C787" s="1"/>
      <c r="D787" s="1"/>
    </row>
    <row r="788" ht="15.75" customHeight="1">
      <c r="A788" s="1"/>
      <c r="B788" s="1"/>
      <c r="C788" s="1"/>
      <c r="D788" s="1"/>
    </row>
    <row r="789" ht="15.75" customHeight="1">
      <c r="A789" s="1"/>
      <c r="B789" s="1"/>
      <c r="C789" s="1"/>
      <c r="D789" s="1"/>
    </row>
    <row r="790" ht="15.75" customHeight="1">
      <c r="A790" s="1"/>
      <c r="B790" s="1"/>
      <c r="C790" s="1"/>
      <c r="D790" s="1"/>
    </row>
    <row r="791" ht="15.75" customHeight="1">
      <c r="A791" s="1"/>
      <c r="B791" s="1"/>
      <c r="C791" s="1"/>
      <c r="D791" s="1"/>
    </row>
    <row r="792" ht="15.75" customHeight="1">
      <c r="A792" s="1"/>
      <c r="B792" s="1"/>
      <c r="C792" s="1"/>
      <c r="D792" s="1"/>
    </row>
    <row r="793" ht="15.75" customHeight="1">
      <c r="A793" s="1"/>
      <c r="B793" s="1"/>
      <c r="C793" s="1"/>
      <c r="D793" s="1"/>
    </row>
    <row r="794" ht="15.75" customHeight="1">
      <c r="A794" s="1"/>
      <c r="B794" s="1"/>
      <c r="C794" s="1"/>
      <c r="D794" s="1"/>
    </row>
    <row r="795" ht="15.75" customHeight="1">
      <c r="A795" s="1"/>
      <c r="B795" s="1"/>
      <c r="C795" s="1"/>
      <c r="D795" s="1"/>
    </row>
    <row r="796" ht="15.75" customHeight="1">
      <c r="A796" s="1"/>
      <c r="B796" s="1"/>
      <c r="C796" s="1"/>
      <c r="D796" s="1"/>
    </row>
    <row r="797" ht="15.75" customHeight="1">
      <c r="A797" s="1"/>
      <c r="B797" s="1"/>
      <c r="C797" s="1"/>
      <c r="D797" s="1"/>
    </row>
    <row r="798" ht="15.75" customHeight="1">
      <c r="A798" s="1"/>
      <c r="B798" s="1"/>
      <c r="C798" s="1"/>
      <c r="D798" s="1"/>
    </row>
    <row r="799" ht="15.75" customHeight="1">
      <c r="A799" s="1"/>
      <c r="B799" s="1"/>
      <c r="C799" s="1"/>
      <c r="D799" s="1"/>
    </row>
    <row r="800" ht="15.75" customHeight="1">
      <c r="A800" s="1"/>
      <c r="B800" s="1"/>
      <c r="C800" s="1"/>
      <c r="D800" s="1"/>
    </row>
    <row r="801" ht="15.75" customHeight="1">
      <c r="A801" s="1"/>
      <c r="B801" s="1"/>
      <c r="C801" s="1"/>
      <c r="D801" s="1"/>
    </row>
    <row r="802" ht="15.75" customHeight="1">
      <c r="A802" s="1"/>
      <c r="B802" s="1"/>
      <c r="C802" s="1"/>
      <c r="D802" s="1"/>
    </row>
    <row r="803" ht="15.75" customHeight="1">
      <c r="A803" s="1"/>
      <c r="B803" s="1"/>
      <c r="C803" s="1"/>
      <c r="D803" s="1"/>
    </row>
    <row r="804" ht="15.75" customHeight="1">
      <c r="A804" s="1"/>
      <c r="B804" s="1"/>
      <c r="C804" s="1"/>
      <c r="D804" s="1"/>
    </row>
    <row r="805" ht="15.75" customHeight="1">
      <c r="A805" s="1"/>
      <c r="B805" s="1"/>
      <c r="C805" s="1"/>
      <c r="D805" s="1"/>
    </row>
    <row r="806" ht="15.75" customHeight="1">
      <c r="A806" s="1"/>
      <c r="B806" s="1"/>
      <c r="C806" s="1"/>
      <c r="D806" s="1"/>
    </row>
    <row r="807" ht="15.75" customHeight="1">
      <c r="A807" s="1"/>
      <c r="B807" s="1"/>
      <c r="C807" s="1"/>
      <c r="D807" s="1"/>
    </row>
    <row r="808" ht="15.75" customHeight="1">
      <c r="A808" s="1"/>
      <c r="B808" s="1"/>
      <c r="C808" s="1"/>
      <c r="D808" s="1"/>
    </row>
    <row r="809" ht="15.75" customHeight="1">
      <c r="A809" s="1"/>
      <c r="B809" s="1"/>
      <c r="C809" s="1"/>
      <c r="D809" s="1"/>
    </row>
    <row r="810" ht="15.75" customHeight="1">
      <c r="A810" s="1"/>
      <c r="B810" s="1"/>
      <c r="C810" s="1"/>
      <c r="D810" s="1"/>
    </row>
    <row r="811" ht="15.75" customHeight="1">
      <c r="A811" s="1"/>
      <c r="B811" s="1"/>
      <c r="C811" s="1"/>
      <c r="D811" s="1"/>
    </row>
    <row r="812" ht="15.75" customHeight="1">
      <c r="A812" s="1"/>
      <c r="B812" s="1"/>
      <c r="C812" s="1"/>
      <c r="D812" s="1"/>
    </row>
    <row r="813" ht="15.75" customHeight="1">
      <c r="A813" s="1"/>
      <c r="B813" s="1"/>
      <c r="C813" s="1"/>
      <c r="D813" s="1"/>
    </row>
    <row r="814" ht="15.75" customHeight="1">
      <c r="A814" s="1"/>
      <c r="B814" s="1"/>
      <c r="C814" s="1"/>
      <c r="D814" s="1"/>
    </row>
    <row r="815" ht="15.75" customHeight="1">
      <c r="A815" s="1"/>
      <c r="B815" s="1"/>
      <c r="C815" s="1"/>
      <c r="D815" s="1"/>
    </row>
    <row r="816" ht="15.75" customHeight="1">
      <c r="A816" s="1"/>
      <c r="B816" s="1"/>
      <c r="C816" s="1"/>
      <c r="D816" s="1"/>
    </row>
    <row r="817" ht="15.75" customHeight="1">
      <c r="A817" s="1"/>
      <c r="B817" s="1"/>
      <c r="C817" s="1"/>
      <c r="D817" s="1"/>
    </row>
    <row r="818" ht="15.75" customHeight="1">
      <c r="A818" s="1"/>
      <c r="B818" s="1"/>
      <c r="C818" s="1"/>
      <c r="D818" s="1"/>
    </row>
    <row r="819" ht="15.75" customHeight="1">
      <c r="A819" s="1"/>
      <c r="B819" s="1"/>
      <c r="C819" s="1"/>
      <c r="D819" s="1"/>
    </row>
    <row r="820" ht="15.75" customHeight="1">
      <c r="A820" s="1"/>
      <c r="B820" s="1"/>
      <c r="C820" s="1"/>
      <c r="D820" s="1"/>
    </row>
    <row r="821" ht="15.75" customHeight="1">
      <c r="A821" s="1"/>
      <c r="B821" s="1"/>
      <c r="C821" s="1"/>
      <c r="D821" s="1"/>
    </row>
    <row r="822" ht="15.75" customHeight="1">
      <c r="A822" s="1"/>
      <c r="B822" s="1"/>
      <c r="C822" s="1"/>
      <c r="D822" s="1"/>
    </row>
    <row r="823" ht="15.75" customHeight="1">
      <c r="A823" s="1"/>
      <c r="B823" s="1"/>
      <c r="C823" s="1"/>
      <c r="D823" s="1"/>
    </row>
    <row r="824" ht="15.75" customHeight="1">
      <c r="A824" s="1"/>
      <c r="B824" s="1"/>
      <c r="C824" s="1"/>
      <c r="D824" s="1"/>
    </row>
    <row r="825" ht="15.75" customHeight="1">
      <c r="A825" s="1"/>
      <c r="B825" s="1"/>
      <c r="C825" s="1"/>
      <c r="D825" s="1"/>
    </row>
    <row r="826" ht="15.75" customHeight="1">
      <c r="A826" s="1"/>
      <c r="B826" s="1"/>
      <c r="C826" s="1"/>
      <c r="D826" s="1"/>
    </row>
    <row r="827" ht="15.75" customHeight="1">
      <c r="A827" s="1"/>
      <c r="B827" s="1"/>
      <c r="C827" s="1"/>
      <c r="D827" s="1"/>
    </row>
    <row r="828" ht="15.75" customHeight="1">
      <c r="A828" s="1"/>
      <c r="B828" s="1"/>
      <c r="C828" s="1"/>
      <c r="D828" s="1"/>
    </row>
    <row r="829" ht="15.75" customHeight="1">
      <c r="A829" s="1"/>
      <c r="B829" s="1"/>
      <c r="C829" s="1"/>
      <c r="D829" s="1"/>
    </row>
    <row r="830" ht="15.75" customHeight="1">
      <c r="A830" s="1"/>
      <c r="B830" s="1"/>
      <c r="C830" s="1"/>
      <c r="D830" s="1"/>
    </row>
    <row r="831" ht="15.75" customHeight="1">
      <c r="A831" s="1"/>
      <c r="B831" s="1"/>
      <c r="C831" s="1"/>
      <c r="D831" s="1"/>
    </row>
    <row r="832" ht="15.75" customHeight="1">
      <c r="A832" s="1"/>
      <c r="B832" s="1"/>
      <c r="C832" s="1"/>
      <c r="D832" s="1"/>
    </row>
    <row r="833" ht="15.75" customHeight="1">
      <c r="A833" s="1"/>
      <c r="B833" s="1"/>
      <c r="C833" s="1"/>
      <c r="D833" s="1"/>
    </row>
    <row r="834" ht="15.75" customHeight="1">
      <c r="A834" s="1"/>
      <c r="B834" s="1"/>
      <c r="C834" s="1"/>
      <c r="D834" s="1"/>
    </row>
    <row r="835" ht="15.75" customHeight="1">
      <c r="A835" s="1"/>
      <c r="B835" s="1"/>
      <c r="C835" s="1"/>
      <c r="D835" s="1"/>
    </row>
    <row r="836" ht="15.75" customHeight="1">
      <c r="A836" s="1"/>
      <c r="B836" s="1"/>
      <c r="C836" s="1"/>
      <c r="D836" s="1"/>
    </row>
    <row r="837" ht="15.75" customHeight="1">
      <c r="A837" s="1"/>
      <c r="B837" s="1"/>
      <c r="C837" s="1"/>
      <c r="D837" s="1"/>
    </row>
    <row r="838" ht="15.75" customHeight="1">
      <c r="A838" s="1"/>
      <c r="B838" s="1"/>
      <c r="C838" s="1"/>
      <c r="D838" s="1"/>
    </row>
    <row r="839" ht="15.75" customHeight="1">
      <c r="A839" s="1"/>
      <c r="B839" s="1"/>
      <c r="C839" s="1"/>
      <c r="D839" s="1"/>
    </row>
    <row r="840" ht="15.75" customHeight="1">
      <c r="A840" s="1"/>
      <c r="B840" s="1"/>
      <c r="C840" s="1"/>
      <c r="D840" s="1"/>
    </row>
    <row r="841" ht="15.75" customHeight="1">
      <c r="A841" s="1"/>
      <c r="B841" s="1"/>
      <c r="C841" s="1"/>
      <c r="D841" s="1"/>
    </row>
    <row r="842" ht="15.75" customHeight="1">
      <c r="A842" s="1"/>
      <c r="B842" s="1"/>
      <c r="C842" s="1"/>
      <c r="D842" s="1"/>
    </row>
    <row r="843" ht="15.75" customHeight="1">
      <c r="A843" s="1"/>
      <c r="B843" s="1"/>
      <c r="C843" s="1"/>
      <c r="D843" s="1"/>
    </row>
    <row r="844" ht="15.75" customHeight="1">
      <c r="A844" s="1"/>
      <c r="B844" s="1"/>
      <c r="C844" s="1"/>
      <c r="D844" s="1"/>
    </row>
    <row r="845" ht="15.75" customHeight="1">
      <c r="A845" s="1"/>
      <c r="B845" s="1"/>
      <c r="C845" s="1"/>
      <c r="D845" s="1"/>
    </row>
    <row r="846" ht="15.75" customHeight="1">
      <c r="A846" s="1"/>
      <c r="B846" s="1"/>
      <c r="C846" s="1"/>
      <c r="D846" s="1"/>
    </row>
    <row r="847" ht="15.75" customHeight="1">
      <c r="A847" s="1"/>
      <c r="B847" s="1"/>
      <c r="C847" s="1"/>
      <c r="D847" s="1"/>
    </row>
    <row r="848" ht="15.75" customHeight="1">
      <c r="A848" s="1"/>
      <c r="B848" s="1"/>
      <c r="C848" s="1"/>
      <c r="D848" s="1"/>
    </row>
    <row r="849" ht="15.75" customHeight="1">
      <c r="A849" s="1"/>
      <c r="B849" s="1"/>
      <c r="C849" s="1"/>
      <c r="D849" s="1"/>
    </row>
    <row r="850" ht="15.75" customHeight="1">
      <c r="A850" s="1"/>
      <c r="B850" s="1"/>
      <c r="C850" s="1"/>
      <c r="D850" s="1"/>
    </row>
    <row r="851" ht="15.75" customHeight="1">
      <c r="A851" s="1"/>
      <c r="B851" s="1"/>
      <c r="C851" s="1"/>
      <c r="D851" s="1"/>
    </row>
    <row r="852" ht="15.75" customHeight="1">
      <c r="A852" s="1"/>
      <c r="B852" s="1"/>
      <c r="C852" s="1"/>
      <c r="D852" s="1"/>
    </row>
    <row r="853" ht="15.75" customHeight="1">
      <c r="A853" s="1"/>
      <c r="B853" s="1"/>
      <c r="C853" s="1"/>
      <c r="D853" s="1"/>
    </row>
    <row r="854" ht="15.75" customHeight="1">
      <c r="A854" s="1"/>
      <c r="B854" s="1"/>
      <c r="C854" s="1"/>
      <c r="D854" s="1"/>
    </row>
    <row r="855" ht="15.75" customHeight="1">
      <c r="A855" s="1"/>
      <c r="B855" s="1"/>
      <c r="C855" s="1"/>
      <c r="D855" s="1"/>
    </row>
    <row r="856" ht="15.75" customHeight="1">
      <c r="A856" s="1"/>
      <c r="B856" s="1"/>
      <c r="C856" s="1"/>
      <c r="D856" s="1"/>
    </row>
    <row r="857" ht="15.75" customHeight="1">
      <c r="A857" s="1"/>
      <c r="B857" s="1"/>
      <c r="C857" s="1"/>
      <c r="D857" s="1"/>
    </row>
    <row r="858" ht="15.75" customHeight="1">
      <c r="A858" s="1"/>
      <c r="B858" s="1"/>
      <c r="C858" s="1"/>
      <c r="D858" s="1"/>
    </row>
    <row r="859" ht="15.75" customHeight="1">
      <c r="A859" s="1"/>
      <c r="B859" s="1"/>
      <c r="C859" s="1"/>
      <c r="D859" s="1"/>
    </row>
    <row r="860" ht="15.75" customHeight="1">
      <c r="A860" s="1"/>
      <c r="B860" s="1"/>
      <c r="C860" s="1"/>
      <c r="D860" s="1"/>
    </row>
    <row r="861" ht="15.75" customHeight="1">
      <c r="A861" s="1"/>
      <c r="B861" s="1"/>
      <c r="C861" s="1"/>
      <c r="D861" s="1"/>
    </row>
    <row r="862" ht="15.75" customHeight="1">
      <c r="A862" s="1"/>
      <c r="B862" s="1"/>
      <c r="C862" s="1"/>
      <c r="D862" s="1"/>
    </row>
    <row r="863" ht="15.75" customHeight="1">
      <c r="A863" s="1"/>
      <c r="B863" s="1"/>
      <c r="C863" s="1"/>
      <c r="D863" s="1"/>
    </row>
    <row r="864" ht="15.75" customHeight="1">
      <c r="A864" s="1"/>
      <c r="B864" s="1"/>
      <c r="C864" s="1"/>
      <c r="D864" s="1"/>
    </row>
    <row r="865" ht="15.75" customHeight="1">
      <c r="A865" s="1"/>
      <c r="B865" s="1"/>
      <c r="C865" s="1"/>
      <c r="D865" s="1"/>
    </row>
    <row r="866" ht="15.75" customHeight="1">
      <c r="A866" s="1"/>
      <c r="B866" s="1"/>
      <c r="C866" s="1"/>
      <c r="D866" s="1"/>
    </row>
    <row r="867" ht="15.75" customHeight="1">
      <c r="A867" s="1"/>
      <c r="B867" s="1"/>
      <c r="C867" s="1"/>
      <c r="D867" s="1"/>
    </row>
    <row r="868" ht="15.75" customHeight="1">
      <c r="A868" s="1"/>
      <c r="B868" s="1"/>
      <c r="C868" s="1"/>
      <c r="D868" s="1"/>
    </row>
    <row r="869" ht="15.75" customHeight="1">
      <c r="A869" s="1"/>
      <c r="B869" s="1"/>
      <c r="C869" s="1"/>
      <c r="D869" s="1"/>
    </row>
    <row r="870" ht="15.75" customHeight="1">
      <c r="A870" s="1"/>
      <c r="B870" s="1"/>
      <c r="C870" s="1"/>
      <c r="D870" s="1"/>
    </row>
    <row r="871" ht="15.75" customHeight="1">
      <c r="A871" s="1"/>
      <c r="B871" s="1"/>
      <c r="C871" s="1"/>
      <c r="D871" s="1"/>
    </row>
    <row r="872" ht="15.75" customHeight="1">
      <c r="A872" s="1"/>
      <c r="B872" s="1"/>
      <c r="C872" s="1"/>
      <c r="D872" s="1"/>
    </row>
    <row r="873" ht="15.75" customHeight="1">
      <c r="A873" s="1"/>
      <c r="B873" s="1"/>
      <c r="C873" s="1"/>
      <c r="D873" s="1"/>
    </row>
    <row r="874" ht="15.75" customHeight="1">
      <c r="A874" s="1"/>
      <c r="B874" s="1"/>
      <c r="C874" s="1"/>
      <c r="D874" s="1"/>
    </row>
    <row r="875" ht="15.75" customHeight="1">
      <c r="A875" s="1"/>
      <c r="B875" s="1"/>
      <c r="C875" s="1"/>
      <c r="D875" s="1"/>
    </row>
    <row r="876" ht="15.75" customHeight="1">
      <c r="A876" s="1"/>
      <c r="B876" s="1"/>
      <c r="C876" s="1"/>
      <c r="D876" s="1"/>
    </row>
    <row r="877" ht="15.75" customHeight="1">
      <c r="A877" s="1"/>
      <c r="B877" s="1"/>
      <c r="C877" s="1"/>
      <c r="D877" s="1"/>
    </row>
    <row r="878" ht="15.75" customHeight="1">
      <c r="A878" s="1"/>
      <c r="B878" s="1"/>
      <c r="C878" s="1"/>
      <c r="D878" s="1"/>
    </row>
    <row r="879" ht="15.75" customHeight="1">
      <c r="A879" s="1"/>
      <c r="B879" s="1"/>
      <c r="C879" s="1"/>
      <c r="D879" s="1"/>
    </row>
    <row r="880" ht="15.75" customHeight="1">
      <c r="A880" s="1"/>
      <c r="B880" s="1"/>
      <c r="C880" s="1"/>
      <c r="D880" s="1"/>
    </row>
    <row r="881" ht="15.75" customHeight="1">
      <c r="A881" s="1"/>
      <c r="B881" s="1"/>
      <c r="C881" s="1"/>
      <c r="D881" s="1"/>
    </row>
    <row r="882" ht="15.75" customHeight="1">
      <c r="A882" s="1"/>
      <c r="B882" s="1"/>
      <c r="C882" s="1"/>
      <c r="D882" s="1"/>
    </row>
    <row r="883" ht="15.75" customHeight="1">
      <c r="A883" s="1"/>
      <c r="B883" s="1"/>
      <c r="C883" s="1"/>
      <c r="D883" s="1"/>
    </row>
    <row r="884" ht="15.75" customHeight="1">
      <c r="A884" s="1"/>
      <c r="B884" s="1"/>
      <c r="C884" s="1"/>
      <c r="D884" s="1"/>
    </row>
    <row r="885" ht="15.75" customHeight="1">
      <c r="A885" s="1"/>
      <c r="B885" s="1"/>
      <c r="C885" s="1"/>
      <c r="D885" s="1"/>
    </row>
    <row r="886" ht="15.75" customHeight="1">
      <c r="A886" s="1"/>
      <c r="B886" s="1"/>
      <c r="C886" s="1"/>
      <c r="D886" s="1"/>
    </row>
    <row r="887" ht="15.75" customHeight="1">
      <c r="A887" s="1"/>
      <c r="B887" s="1"/>
      <c r="C887" s="1"/>
      <c r="D887" s="1"/>
    </row>
    <row r="888" ht="15.75" customHeight="1">
      <c r="A888" s="1"/>
      <c r="B888" s="1"/>
      <c r="C888" s="1"/>
      <c r="D888" s="1"/>
    </row>
    <row r="889" ht="15.75" customHeight="1">
      <c r="A889" s="1"/>
      <c r="B889" s="1"/>
      <c r="C889" s="1"/>
      <c r="D889" s="1"/>
    </row>
    <row r="890" ht="15.75" customHeight="1">
      <c r="A890" s="1"/>
      <c r="B890" s="1"/>
      <c r="C890" s="1"/>
      <c r="D890" s="1"/>
    </row>
    <row r="891" ht="15.75" customHeight="1">
      <c r="A891" s="1"/>
      <c r="B891" s="1"/>
      <c r="C891" s="1"/>
      <c r="D891" s="1"/>
    </row>
    <row r="892" ht="15.75" customHeight="1">
      <c r="A892" s="1"/>
      <c r="B892" s="1"/>
      <c r="C892" s="1"/>
      <c r="D892" s="1"/>
    </row>
    <row r="893" ht="15.75" customHeight="1">
      <c r="A893" s="1"/>
      <c r="B893" s="1"/>
      <c r="C893" s="1"/>
      <c r="D893" s="1"/>
    </row>
    <row r="894" ht="15.75" customHeight="1">
      <c r="A894" s="1"/>
      <c r="B894" s="1"/>
      <c r="C894" s="1"/>
      <c r="D894" s="1"/>
    </row>
    <row r="895" ht="15.75" customHeight="1">
      <c r="A895" s="1"/>
      <c r="B895" s="1"/>
      <c r="C895" s="1"/>
      <c r="D895" s="1"/>
    </row>
    <row r="896" ht="15.75" customHeight="1">
      <c r="A896" s="1"/>
      <c r="B896" s="1"/>
      <c r="C896" s="1"/>
      <c r="D896" s="1"/>
    </row>
    <row r="897" ht="15.75" customHeight="1">
      <c r="A897" s="1"/>
      <c r="B897" s="1"/>
      <c r="C897" s="1"/>
      <c r="D897" s="1"/>
    </row>
    <row r="898" ht="15.75" customHeight="1">
      <c r="A898" s="1"/>
      <c r="B898" s="1"/>
      <c r="C898" s="1"/>
      <c r="D898" s="1"/>
    </row>
    <row r="899" ht="15.75" customHeight="1">
      <c r="A899" s="1"/>
      <c r="B899" s="1"/>
      <c r="C899" s="1"/>
      <c r="D899" s="1"/>
    </row>
    <row r="900" ht="15.75" customHeight="1">
      <c r="A900" s="1"/>
      <c r="B900" s="1"/>
      <c r="C900" s="1"/>
      <c r="D900" s="1"/>
    </row>
    <row r="901" ht="15.75" customHeight="1">
      <c r="A901" s="1"/>
      <c r="B901" s="1"/>
      <c r="C901" s="1"/>
      <c r="D901" s="1"/>
    </row>
    <row r="902" ht="15.75" customHeight="1">
      <c r="A902" s="1"/>
      <c r="B902" s="1"/>
      <c r="C902" s="1"/>
      <c r="D902" s="1"/>
    </row>
    <row r="903" ht="15.75" customHeight="1">
      <c r="A903" s="1"/>
      <c r="B903" s="1"/>
      <c r="C903" s="1"/>
      <c r="D903" s="1"/>
    </row>
    <row r="904" ht="15.75" customHeight="1">
      <c r="A904" s="1"/>
      <c r="B904" s="1"/>
      <c r="C904" s="1"/>
      <c r="D904" s="1"/>
    </row>
    <row r="905" ht="15.75" customHeight="1">
      <c r="A905" s="1"/>
      <c r="B905" s="1"/>
      <c r="C905" s="1"/>
      <c r="D905" s="1"/>
    </row>
    <row r="906" ht="15.75" customHeight="1">
      <c r="A906" s="1"/>
      <c r="B906" s="1"/>
      <c r="C906" s="1"/>
      <c r="D906" s="1"/>
    </row>
    <row r="907" ht="15.75" customHeight="1">
      <c r="A907" s="1"/>
      <c r="B907" s="1"/>
      <c r="C907" s="1"/>
      <c r="D907" s="1"/>
    </row>
    <row r="908" ht="15.75" customHeight="1">
      <c r="A908" s="1"/>
      <c r="B908" s="1"/>
      <c r="C908" s="1"/>
      <c r="D908" s="1"/>
    </row>
    <row r="909" ht="15.75" customHeight="1">
      <c r="A909" s="1"/>
      <c r="B909" s="1"/>
      <c r="C909" s="1"/>
      <c r="D909" s="1"/>
    </row>
    <row r="910" ht="15.75" customHeight="1">
      <c r="A910" s="1"/>
      <c r="B910" s="1"/>
      <c r="C910" s="1"/>
      <c r="D910" s="1"/>
    </row>
    <row r="911" ht="15.75" customHeight="1">
      <c r="A911" s="1"/>
      <c r="B911" s="1"/>
      <c r="C911" s="1"/>
      <c r="D911" s="1"/>
    </row>
    <row r="912" ht="15.75" customHeight="1">
      <c r="A912" s="1"/>
      <c r="B912" s="1"/>
      <c r="C912" s="1"/>
      <c r="D912" s="1"/>
    </row>
    <row r="913" ht="15.75" customHeight="1">
      <c r="A913" s="1"/>
      <c r="B913" s="1"/>
      <c r="C913" s="1"/>
      <c r="D913" s="1"/>
    </row>
    <row r="914" ht="15.75" customHeight="1">
      <c r="A914" s="1"/>
      <c r="B914" s="1"/>
      <c r="C914" s="1"/>
      <c r="D914" s="1"/>
    </row>
    <row r="915" ht="15.75" customHeight="1">
      <c r="A915" s="1"/>
      <c r="B915" s="1"/>
      <c r="C915" s="1"/>
      <c r="D915" s="1"/>
    </row>
    <row r="916" ht="15.75" customHeight="1">
      <c r="A916" s="1"/>
      <c r="B916" s="1"/>
      <c r="C916" s="1"/>
      <c r="D916" s="1"/>
    </row>
    <row r="917" ht="15.75" customHeight="1">
      <c r="A917" s="1"/>
      <c r="B917" s="1"/>
      <c r="C917" s="1"/>
      <c r="D917" s="1"/>
    </row>
    <row r="918" ht="15.75" customHeight="1">
      <c r="A918" s="1"/>
      <c r="B918" s="1"/>
      <c r="C918" s="1"/>
      <c r="D918" s="1"/>
    </row>
    <row r="919" ht="15.75" customHeight="1">
      <c r="A919" s="1"/>
      <c r="B919" s="1"/>
      <c r="C919" s="1"/>
      <c r="D919" s="1"/>
    </row>
    <row r="920" ht="15.75" customHeight="1">
      <c r="A920" s="1"/>
      <c r="B920" s="1"/>
      <c r="C920" s="1"/>
      <c r="D920" s="1"/>
    </row>
    <row r="921" ht="15.75" customHeight="1">
      <c r="A921" s="1"/>
      <c r="B921" s="1"/>
      <c r="C921" s="1"/>
      <c r="D921" s="1"/>
    </row>
    <row r="922" ht="15.75" customHeight="1">
      <c r="A922" s="1"/>
      <c r="B922" s="1"/>
      <c r="C922" s="1"/>
      <c r="D922" s="1"/>
    </row>
    <row r="923" ht="15.75" customHeight="1">
      <c r="A923" s="1"/>
      <c r="B923" s="1"/>
      <c r="C923" s="1"/>
      <c r="D923" s="1"/>
    </row>
    <row r="924" ht="15.75" customHeight="1">
      <c r="A924" s="1"/>
      <c r="B924" s="1"/>
      <c r="C924" s="1"/>
      <c r="D924" s="1"/>
    </row>
    <row r="925" ht="15.75" customHeight="1">
      <c r="A925" s="1"/>
      <c r="B925" s="1"/>
      <c r="C925" s="1"/>
      <c r="D925" s="1"/>
    </row>
    <row r="926" ht="15.75" customHeight="1">
      <c r="A926" s="1"/>
      <c r="B926" s="1"/>
      <c r="C926" s="1"/>
      <c r="D926" s="1"/>
    </row>
    <row r="927" ht="15.75" customHeight="1">
      <c r="A927" s="1"/>
      <c r="B927" s="1"/>
      <c r="C927" s="1"/>
      <c r="D927" s="1"/>
    </row>
    <row r="928" ht="15.75" customHeight="1">
      <c r="A928" s="1"/>
      <c r="B928" s="1"/>
      <c r="C928" s="1"/>
      <c r="D928" s="1"/>
    </row>
    <row r="929" ht="15.75" customHeight="1">
      <c r="A929" s="1"/>
      <c r="B929" s="1"/>
      <c r="C929" s="1"/>
      <c r="D929" s="1"/>
    </row>
    <row r="930" ht="15.75" customHeight="1">
      <c r="A930" s="1"/>
      <c r="B930" s="1"/>
      <c r="C930" s="1"/>
      <c r="D930" s="1"/>
    </row>
    <row r="931" ht="15.75" customHeight="1">
      <c r="A931" s="1"/>
      <c r="B931" s="1"/>
      <c r="C931" s="1"/>
      <c r="D931" s="1"/>
    </row>
    <row r="932" ht="15.75" customHeight="1">
      <c r="A932" s="1"/>
      <c r="B932" s="1"/>
      <c r="C932" s="1"/>
      <c r="D932" s="1"/>
    </row>
    <row r="933" ht="15.75" customHeight="1">
      <c r="A933" s="1"/>
      <c r="B933" s="1"/>
      <c r="C933" s="1"/>
      <c r="D933" s="1"/>
    </row>
    <row r="934" ht="15.75" customHeight="1">
      <c r="A934" s="1"/>
      <c r="B934" s="1"/>
      <c r="C934" s="1"/>
      <c r="D934" s="1"/>
    </row>
    <row r="935" ht="15.75" customHeight="1">
      <c r="A935" s="1"/>
      <c r="B935" s="1"/>
      <c r="C935" s="1"/>
      <c r="D935" s="1"/>
    </row>
    <row r="936" ht="15.75" customHeight="1">
      <c r="A936" s="1"/>
      <c r="B936" s="1"/>
      <c r="C936" s="1"/>
      <c r="D936" s="1"/>
    </row>
    <row r="937" ht="15.75" customHeight="1">
      <c r="A937" s="1"/>
      <c r="B937" s="1"/>
      <c r="C937" s="1"/>
      <c r="D937" s="1"/>
    </row>
    <row r="938" ht="15.75" customHeight="1">
      <c r="A938" s="1"/>
      <c r="B938" s="1"/>
      <c r="C938" s="1"/>
      <c r="D938" s="1"/>
    </row>
    <row r="939" ht="15.75" customHeight="1">
      <c r="A939" s="1"/>
      <c r="B939" s="1"/>
      <c r="C939" s="1"/>
      <c r="D939" s="1"/>
    </row>
    <row r="940" ht="15.75" customHeight="1">
      <c r="A940" s="1"/>
      <c r="B940" s="1"/>
      <c r="C940" s="1"/>
      <c r="D940" s="1"/>
    </row>
    <row r="941" ht="15.75" customHeight="1">
      <c r="A941" s="1"/>
      <c r="B941" s="1"/>
      <c r="C941" s="1"/>
      <c r="D941" s="1"/>
    </row>
    <row r="942" ht="15.75" customHeight="1">
      <c r="A942" s="1"/>
      <c r="B942" s="1"/>
      <c r="C942" s="1"/>
      <c r="D942" s="1"/>
    </row>
    <row r="943" ht="15.75" customHeight="1">
      <c r="A943" s="1"/>
      <c r="B943" s="1"/>
      <c r="C943" s="1"/>
      <c r="D943" s="1"/>
    </row>
    <row r="944" ht="15.75" customHeight="1">
      <c r="A944" s="1"/>
      <c r="B944" s="1"/>
      <c r="C944" s="1"/>
      <c r="D944" s="1"/>
    </row>
    <row r="945" ht="15.75" customHeight="1">
      <c r="A945" s="1"/>
      <c r="B945" s="1"/>
      <c r="C945" s="1"/>
      <c r="D945" s="1"/>
    </row>
    <row r="946" ht="15.75" customHeight="1">
      <c r="A946" s="1"/>
      <c r="B946" s="1"/>
      <c r="C946" s="1"/>
      <c r="D946" s="1"/>
    </row>
    <row r="947" ht="15.75" customHeight="1">
      <c r="A947" s="1"/>
      <c r="B947" s="1"/>
      <c r="C947" s="1"/>
      <c r="D947" s="1"/>
    </row>
    <row r="948" ht="15.75" customHeight="1">
      <c r="A948" s="1"/>
      <c r="B948" s="1"/>
      <c r="C948" s="1"/>
      <c r="D948" s="1"/>
    </row>
    <row r="949" ht="15.75" customHeight="1">
      <c r="A949" s="1"/>
      <c r="B949" s="1"/>
      <c r="C949" s="1"/>
      <c r="D949" s="1"/>
    </row>
    <row r="950" ht="15.75" customHeight="1">
      <c r="A950" s="1"/>
      <c r="B950" s="1"/>
      <c r="C950" s="1"/>
      <c r="D950" s="1"/>
    </row>
    <row r="951" ht="15.75" customHeight="1">
      <c r="A951" s="1"/>
      <c r="B951" s="1"/>
      <c r="C951" s="1"/>
      <c r="D951" s="1"/>
    </row>
    <row r="952" ht="15.75" customHeight="1">
      <c r="A952" s="1"/>
      <c r="B952" s="1"/>
      <c r="C952" s="1"/>
      <c r="D952" s="1"/>
    </row>
    <row r="953" ht="15.75" customHeight="1">
      <c r="A953" s="1"/>
      <c r="B953" s="1"/>
      <c r="C953" s="1"/>
      <c r="D953" s="1"/>
    </row>
    <row r="954" ht="15.75" customHeight="1">
      <c r="A954" s="1"/>
      <c r="B954" s="1"/>
      <c r="C954" s="1"/>
      <c r="D954" s="1"/>
    </row>
    <row r="955" ht="15.75" customHeight="1">
      <c r="A955" s="1"/>
      <c r="B955" s="1"/>
      <c r="C955" s="1"/>
      <c r="D955" s="1"/>
    </row>
    <row r="956" ht="15.75" customHeight="1">
      <c r="A956" s="1"/>
      <c r="B956" s="1"/>
      <c r="C956" s="1"/>
      <c r="D956" s="1"/>
    </row>
    <row r="957" ht="15.75" customHeight="1">
      <c r="A957" s="1"/>
      <c r="B957" s="1"/>
      <c r="C957" s="1"/>
      <c r="D957" s="1"/>
    </row>
    <row r="958" ht="15.75" customHeight="1">
      <c r="A958" s="1"/>
      <c r="B958" s="1"/>
      <c r="C958" s="1"/>
      <c r="D958" s="1"/>
    </row>
    <row r="959" ht="15.75" customHeight="1">
      <c r="A959" s="1"/>
      <c r="B959" s="1"/>
      <c r="C959" s="1"/>
      <c r="D959" s="1"/>
    </row>
    <row r="960" ht="15.75" customHeight="1">
      <c r="A960" s="1"/>
      <c r="B960" s="1"/>
      <c r="C960" s="1"/>
      <c r="D960" s="1"/>
    </row>
    <row r="961" ht="15.75" customHeight="1">
      <c r="A961" s="1"/>
      <c r="B961" s="1"/>
      <c r="C961" s="1"/>
      <c r="D961" s="1"/>
    </row>
    <row r="962" ht="15.75" customHeight="1">
      <c r="A962" s="1"/>
      <c r="B962" s="1"/>
      <c r="C962" s="1"/>
      <c r="D962" s="1"/>
    </row>
    <row r="963" ht="15.75" customHeight="1">
      <c r="A963" s="1"/>
      <c r="B963" s="1"/>
      <c r="C963" s="1"/>
      <c r="D963" s="1"/>
    </row>
    <row r="964" ht="15.75" customHeight="1">
      <c r="A964" s="1"/>
      <c r="B964" s="1"/>
      <c r="C964" s="1"/>
      <c r="D964" s="1"/>
    </row>
    <row r="965" ht="15.75" customHeight="1">
      <c r="A965" s="1"/>
      <c r="B965" s="1"/>
      <c r="C965" s="1"/>
      <c r="D965" s="1"/>
    </row>
    <row r="966" ht="15.75" customHeight="1">
      <c r="A966" s="1"/>
      <c r="B966" s="1"/>
      <c r="C966" s="1"/>
      <c r="D966" s="1"/>
    </row>
    <row r="967" ht="15.75" customHeight="1">
      <c r="A967" s="1"/>
      <c r="B967" s="1"/>
      <c r="C967" s="1"/>
      <c r="D967" s="1"/>
    </row>
    <row r="968" ht="15.75" customHeight="1">
      <c r="A968" s="1"/>
      <c r="B968" s="1"/>
      <c r="C968" s="1"/>
      <c r="D968" s="1"/>
    </row>
    <row r="969" ht="15.75" customHeight="1">
      <c r="A969" s="1"/>
      <c r="B969" s="1"/>
      <c r="C969" s="1"/>
      <c r="D969" s="1"/>
    </row>
    <row r="970" ht="15.75" customHeight="1">
      <c r="A970" s="1"/>
      <c r="B970" s="1"/>
      <c r="C970" s="1"/>
      <c r="D970" s="1"/>
    </row>
    <row r="971" ht="15.75" customHeight="1">
      <c r="A971" s="1"/>
      <c r="B971" s="1"/>
      <c r="C971" s="1"/>
      <c r="D971" s="1"/>
    </row>
    <row r="972" ht="15.75" customHeight="1">
      <c r="A972" s="1"/>
      <c r="B972" s="1"/>
      <c r="C972" s="1"/>
      <c r="D972" s="1"/>
    </row>
    <row r="973" ht="15.75" customHeight="1">
      <c r="A973" s="1"/>
      <c r="B973" s="1"/>
      <c r="C973" s="1"/>
      <c r="D973" s="1"/>
    </row>
    <row r="974" ht="15.75" customHeight="1">
      <c r="A974" s="1"/>
      <c r="B974" s="1"/>
      <c r="C974" s="1"/>
      <c r="D974" s="1"/>
    </row>
    <row r="975" ht="15.75" customHeight="1">
      <c r="A975" s="1"/>
      <c r="B975" s="1"/>
      <c r="C975" s="1"/>
      <c r="D975" s="1"/>
    </row>
    <row r="976" ht="15.75" customHeight="1">
      <c r="A976" s="1"/>
      <c r="B976" s="1"/>
      <c r="C976" s="1"/>
      <c r="D976" s="1"/>
    </row>
    <row r="977" ht="15.75" customHeight="1">
      <c r="A977" s="1"/>
      <c r="B977" s="1"/>
      <c r="C977" s="1"/>
      <c r="D977" s="1"/>
    </row>
    <row r="978" ht="15.75" customHeight="1">
      <c r="A978" s="1"/>
      <c r="B978" s="1"/>
      <c r="C978" s="1"/>
      <c r="D978" s="1"/>
    </row>
    <row r="979" ht="15.75" customHeight="1">
      <c r="A979" s="1"/>
      <c r="B979" s="1"/>
      <c r="C979" s="1"/>
      <c r="D979" s="1"/>
    </row>
    <row r="980" ht="15.75" customHeight="1">
      <c r="A980" s="1"/>
      <c r="B980" s="1"/>
      <c r="C980" s="1"/>
      <c r="D980" s="1"/>
    </row>
    <row r="981" ht="15.75" customHeight="1">
      <c r="A981" s="1"/>
      <c r="B981" s="1"/>
      <c r="C981" s="1"/>
      <c r="D981" s="1"/>
    </row>
    <row r="982" ht="15.75" customHeight="1">
      <c r="A982" s="1"/>
      <c r="B982" s="1"/>
      <c r="C982" s="1"/>
      <c r="D982" s="1"/>
    </row>
    <row r="983" ht="15.75" customHeight="1">
      <c r="A983" s="1"/>
      <c r="B983" s="1"/>
      <c r="C983" s="1"/>
      <c r="D983" s="1"/>
    </row>
    <row r="984" ht="15.75" customHeight="1">
      <c r="A984" s="1"/>
      <c r="B984" s="1"/>
      <c r="C984" s="1"/>
      <c r="D984" s="1"/>
    </row>
    <row r="985" ht="15.75" customHeight="1">
      <c r="A985" s="1"/>
      <c r="B985" s="1"/>
      <c r="C985" s="1"/>
      <c r="D985" s="1"/>
    </row>
    <row r="986" ht="15.75" customHeight="1">
      <c r="A986" s="1"/>
      <c r="B986" s="1"/>
      <c r="C986" s="1"/>
      <c r="D986" s="1"/>
    </row>
    <row r="987" ht="15.75" customHeight="1">
      <c r="A987" s="1"/>
      <c r="B987" s="1"/>
      <c r="C987" s="1"/>
      <c r="D987" s="1"/>
    </row>
    <row r="988" ht="15.75" customHeight="1">
      <c r="A988" s="1"/>
      <c r="B988" s="1"/>
      <c r="C988" s="1"/>
      <c r="D988" s="1"/>
    </row>
    <row r="989" ht="15.75" customHeight="1">
      <c r="A989" s="1"/>
      <c r="B989" s="1"/>
      <c r="C989" s="1"/>
      <c r="D989" s="1"/>
    </row>
    <row r="990" ht="15.75" customHeight="1">
      <c r="A990" s="1"/>
      <c r="B990" s="1"/>
      <c r="C990" s="1"/>
      <c r="D990" s="1"/>
    </row>
    <row r="991" ht="15.75" customHeight="1">
      <c r="A991" s="1"/>
      <c r="B991" s="1"/>
      <c r="C991" s="1"/>
      <c r="D991" s="1"/>
    </row>
    <row r="992" ht="15.75" customHeight="1">
      <c r="A992" s="1"/>
      <c r="B992" s="1"/>
      <c r="C992" s="1"/>
      <c r="D992" s="1"/>
    </row>
    <row r="993" ht="15.75" customHeight="1">
      <c r="A993" s="1"/>
      <c r="B993" s="1"/>
      <c r="C993" s="1"/>
      <c r="D993" s="1"/>
    </row>
    <row r="994" ht="15.75" customHeight="1">
      <c r="A994" s="1"/>
      <c r="B994" s="1"/>
      <c r="C994" s="1"/>
      <c r="D994" s="1"/>
    </row>
    <row r="995" ht="15.75" customHeight="1">
      <c r="A995" s="1"/>
      <c r="B995" s="1"/>
      <c r="C995" s="1"/>
      <c r="D995" s="1"/>
    </row>
    <row r="996" ht="15.75" customHeight="1">
      <c r="A996" s="1"/>
      <c r="B996" s="1"/>
      <c r="C996" s="1"/>
      <c r="D996" s="1"/>
    </row>
    <row r="997" ht="15.75" customHeight="1">
      <c r="A997" s="1"/>
      <c r="B997" s="1"/>
      <c r="C997" s="1"/>
      <c r="D997" s="1"/>
    </row>
    <row r="998" ht="15.75" customHeight="1">
      <c r="A998" s="1"/>
      <c r="B998" s="1"/>
      <c r="C998" s="1"/>
      <c r="D998" s="1"/>
    </row>
    <row r="999" ht="15.75" customHeight="1">
      <c r="A999" s="1"/>
      <c r="B999" s="1"/>
      <c r="C999" s="1"/>
      <c r="D999" s="1"/>
    </row>
    <row r="1000" ht="15.75" customHeight="1">
      <c r="A1000" s="1"/>
      <c r="B1000" s="1"/>
      <c r="C1000" s="1"/>
      <c r="D1000" s="1"/>
    </row>
    <row r="1001" ht="15.75" customHeight="1">
      <c r="A1001" s="1"/>
      <c r="B1001" s="1"/>
      <c r="C1001" s="1"/>
      <c r="D1001" s="1"/>
    </row>
  </sheetData>
  <mergeCells count="102">
    <mergeCell ref="B205:C205"/>
    <mergeCell ref="B206:C206"/>
    <mergeCell ref="B215:C215"/>
    <mergeCell ref="B216:C216"/>
    <mergeCell ref="B225:C225"/>
    <mergeCell ref="B226:C226"/>
    <mergeCell ref="B235:C235"/>
    <mergeCell ref="B236:C236"/>
    <mergeCell ref="B245:C245"/>
    <mergeCell ref="B246:C246"/>
    <mergeCell ref="B255:C255"/>
    <mergeCell ref="B256:C256"/>
    <mergeCell ref="B265:C265"/>
    <mergeCell ref="B266:C266"/>
    <mergeCell ref="B275:C275"/>
    <mergeCell ref="B276:C276"/>
    <mergeCell ref="B285:C285"/>
    <mergeCell ref="B286:C286"/>
    <mergeCell ref="B295:C295"/>
    <mergeCell ref="B296:C296"/>
    <mergeCell ref="B305:C305"/>
    <mergeCell ref="B306:C306"/>
    <mergeCell ref="B315:C315"/>
    <mergeCell ref="B316:C316"/>
    <mergeCell ref="B325:C325"/>
    <mergeCell ref="B326:C326"/>
    <mergeCell ref="B335:C335"/>
    <mergeCell ref="B336:C336"/>
    <mergeCell ref="B345:C345"/>
    <mergeCell ref="B346:C346"/>
    <mergeCell ref="B355:C355"/>
    <mergeCell ref="B356:C356"/>
    <mergeCell ref="B365:C365"/>
    <mergeCell ref="B366:C366"/>
    <mergeCell ref="B375:C375"/>
    <mergeCell ref="B376:C376"/>
    <mergeCell ref="B385:C385"/>
    <mergeCell ref="B386:C386"/>
    <mergeCell ref="B395:C395"/>
    <mergeCell ref="B396:C396"/>
    <mergeCell ref="B405:C405"/>
    <mergeCell ref="B406:C406"/>
    <mergeCell ref="B415:C415"/>
    <mergeCell ref="B416:C416"/>
    <mergeCell ref="B425:C425"/>
    <mergeCell ref="B426:C426"/>
    <mergeCell ref="B435:C435"/>
    <mergeCell ref="B436:C436"/>
    <mergeCell ref="B445:C445"/>
    <mergeCell ref="B446:C446"/>
    <mergeCell ref="B455:C455"/>
    <mergeCell ref="B456:C456"/>
    <mergeCell ref="B465:C465"/>
    <mergeCell ref="B466:C466"/>
    <mergeCell ref="B475:C475"/>
    <mergeCell ref="B476:C476"/>
    <mergeCell ref="B2:C2"/>
    <mergeCell ref="B3:C3"/>
    <mergeCell ref="B5:C5"/>
    <mergeCell ref="B6:C6"/>
    <mergeCell ref="B15:C15"/>
    <mergeCell ref="B16:C16"/>
    <mergeCell ref="B25:C25"/>
    <mergeCell ref="B26:C26"/>
    <mergeCell ref="B35:C35"/>
    <mergeCell ref="B36:C36"/>
    <mergeCell ref="B45:C45"/>
    <mergeCell ref="B46:C46"/>
    <mergeCell ref="B55:C55"/>
    <mergeCell ref="B56:C56"/>
    <mergeCell ref="B65:C65"/>
    <mergeCell ref="B66:C66"/>
    <mergeCell ref="B75:C75"/>
    <mergeCell ref="B76:C76"/>
    <mergeCell ref="B85:C85"/>
    <mergeCell ref="B86:C86"/>
    <mergeCell ref="B95:C95"/>
    <mergeCell ref="B96:C96"/>
    <mergeCell ref="B105:C105"/>
    <mergeCell ref="B106:C106"/>
    <mergeCell ref="B115:C115"/>
    <mergeCell ref="B116:C116"/>
    <mergeCell ref="B125:C125"/>
    <mergeCell ref="B126:C126"/>
    <mergeCell ref="B135:C135"/>
    <mergeCell ref="B136:C136"/>
    <mergeCell ref="B145:C145"/>
    <mergeCell ref="B146:C146"/>
    <mergeCell ref="B155:C155"/>
    <mergeCell ref="B156:C156"/>
    <mergeCell ref="B165:C165"/>
    <mergeCell ref="B166:C166"/>
    <mergeCell ref="B175:C175"/>
    <mergeCell ref="B176:C176"/>
    <mergeCell ref="B185:C185"/>
    <mergeCell ref="B186:C186"/>
    <mergeCell ref="B195:C195"/>
    <mergeCell ref="B196:C196"/>
    <mergeCell ref="B485:C485"/>
    <mergeCell ref="B486:C486"/>
    <mergeCell ref="B495:C495"/>
    <mergeCell ref="B496:C496"/>
  </mergeCells>
  <conditionalFormatting sqref="C12">
    <cfRule type="expression" dxfId="0" priority="1">
      <formula>C11="A"</formula>
    </cfRule>
  </conditionalFormatting>
  <conditionalFormatting sqref="C12">
    <cfRule type="expression" dxfId="1" priority="2">
      <formula>AND(C11&lt;&gt;"",C11&lt;&gt;"A")</formula>
    </cfRule>
  </conditionalFormatting>
  <conditionalFormatting sqref="C22">
    <cfRule type="expression" dxfId="0" priority="3">
      <formula>C21="B"</formula>
    </cfRule>
  </conditionalFormatting>
  <conditionalFormatting sqref="C22">
    <cfRule type="expression" dxfId="1" priority="4">
      <formula>AND(C21&lt;&gt;"",C21&lt;&gt;"B")</formula>
    </cfRule>
  </conditionalFormatting>
  <conditionalFormatting sqref="C32">
    <cfRule type="expression" dxfId="0" priority="5">
      <formula>C31="B"</formula>
    </cfRule>
  </conditionalFormatting>
  <conditionalFormatting sqref="C32">
    <cfRule type="expression" dxfId="1" priority="6">
      <formula>AND(C31&lt;&gt;"",C31&lt;&gt;"B")</formula>
    </cfRule>
  </conditionalFormatting>
  <conditionalFormatting sqref="C42">
    <cfRule type="expression" dxfId="0" priority="7">
      <formula>C41="B"</formula>
    </cfRule>
  </conditionalFormatting>
  <conditionalFormatting sqref="C42">
    <cfRule type="expression" dxfId="1" priority="8">
      <formula>AND(C41&lt;&gt;"",C41&lt;&gt;"B")</formula>
    </cfRule>
  </conditionalFormatting>
  <conditionalFormatting sqref="C52">
    <cfRule type="expression" dxfId="0" priority="9">
      <formula>C51="A"</formula>
    </cfRule>
  </conditionalFormatting>
  <conditionalFormatting sqref="C52">
    <cfRule type="expression" dxfId="1" priority="10">
      <formula>AND(C51&lt;&gt;"",C51&lt;&gt;"A")</formula>
    </cfRule>
  </conditionalFormatting>
  <conditionalFormatting sqref="C62">
    <cfRule type="expression" dxfId="0" priority="11">
      <formula>C61="C"</formula>
    </cfRule>
  </conditionalFormatting>
  <conditionalFormatting sqref="C62">
    <cfRule type="expression" dxfId="1" priority="12">
      <formula>AND(C61&lt;&gt;"",C61&lt;&gt;"C")</formula>
    </cfRule>
  </conditionalFormatting>
  <conditionalFormatting sqref="C72">
    <cfRule type="expression" dxfId="0" priority="13">
      <formula>C71="D"</formula>
    </cfRule>
  </conditionalFormatting>
  <conditionalFormatting sqref="C72">
    <cfRule type="expression" dxfId="1" priority="14">
      <formula>AND(C71&lt;&gt;"",C71&lt;&gt;"D")</formula>
    </cfRule>
  </conditionalFormatting>
  <conditionalFormatting sqref="C82">
    <cfRule type="expression" dxfId="0" priority="15">
      <formula>C81="C"</formula>
    </cfRule>
  </conditionalFormatting>
  <conditionalFormatting sqref="C82">
    <cfRule type="expression" dxfId="1" priority="16">
      <formula>AND(C81&lt;&gt;"",C81&lt;&gt;"C")</formula>
    </cfRule>
  </conditionalFormatting>
  <conditionalFormatting sqref="C92">
    <cfRule type="expression" dxfId="0" priority="17">
      <formula>C91="B"</formula>
    </cfRule>
  </conditionalFormatting>
  <conditionalFormatting sqref="C92">
    <cfRule type="expression" dxfId="1" priority="18">
      <formula>AND(C91&lt;&gt;"",C91&lt;&gt;"B")</formula>
    </cfRule>
  </conditionalFormatting>
  <conditionalFormatting sqref="C102">
    <cfRule type="expression" dxfId="0" priority="19">
      <formula>C101="C"</formula>
    </cfRule>
  </conditionalFormatting>
  <conditionalFormatting sqref="C102">
    <cfRule type="expression" dxfId="1" priority="20">
      <formula>AND(C101&lt;&gt;"",C101&lt;&gt;"C")</formula>
    </cfRule>
  </conditionalFormatting>
  <conditionalFormatting sqref="C112">
    <cfRule type="expression" dxfId="0" priority="21">
      <formula>C111="C"</formula>
    </cfRule>
  </conditionalFormatting>
  <conditionalFormatting sqref="C112">
    <cfRule type="expression" dxfId="1" priority="22">
      <formula>AND(C111&lt;&gt;"",C111&lt;&gt;"C")</formula>
    </cfRule>
  </conditionalFormatting>
  <conditionalFormatting sqref="C122">
    <cfRule type="expression" dxfId="0" priority="23">
      <formula>C121="B"</formula>
    </cfRule>
  </conditionalFormatting>
  <conditionalFormatting sqref="C122">
    <cfRule type="expression" dxfId="1" priority="24">
      <formula>AND(C121&lt;&gt;"",C121&lt;&gt;"B")</formula>
    </cfRule>
  </conditionalFormatting>
  <conditionalFormatting sqref="C132">
    <cfRule type="expression" dxfId="0" priority="25">
      <formula>C131="B"</formula>
    </cfRule>
  </conditionalFormatting>
  <conditionalFormatting sqref="C132">
    <cfRule type="expression" dxfId="1" priority="26">
      <formula>AND(C131&lt;&gt;"",C131&lt;&gt;"B")</formula>
    </cfRule>
  </conditionalFormatting>
  <conditionalFormatting sqref="C142">
    <cfRule type="expression" dxfId="0" priority="27">
      <formula>C141="B"</formula>
    </cfRule>
  </conditionalFormatting>
  <conditionalFormatting sqref="C142">
    <cfRule type="expression" dxfId="1" priority="28">
      <formula>AND(C141&lt;&gt;"",C141&lt;&gt;"B")</formula>
    </cfRule>
  </conditionalFormatting>
  <conditionalFormatting sqref="C152">
    <cfRule type="expression" dxfId="0" priority="29">
      <formula>C151="C"</formula>
    </cfRule>
  </conditionalFormatting>
  <conditionalFormatting sqref="C152">
    <cfRule type="expression" dxfId="1" priority="30">
      <formula>AND(C151&lt;&gt;"",C151&lt;&gt;"C")</formula>
    </cfRule>
  </conditionalFormatting>
  <conditionalFormatting sqref="C162">
    <cfRule type="expression" dxfId="0" priority="31">
      <formula>C161="C"</formula>
    </cfRule>
  </conditionalFormatting>
  <conditionalFormatting sqref="C162">
    <cfRule type="expression" dxfId="1" priority="32">
      <formula>AND(C161&lt;&gt;"",C161&lt;&gt;"C")</formula>
    </cfRule>
  </conditionalFormatting>
  <conditionalFormatting sqref="C172">
    <cfRule type="expression" dxfId="0" priority="33">
      <formula>C171="B"</formula>
    </cfRule>
  </conditionalFormatting>
  <conditionalFormatting sqref="C172">
    <cfRule type="expression" dxfId="1" priority="34">
      <formula>AND(C171&lt;&gt;"",C171&lt;&gt;"B")</formula>
    </cfRule>
  </conditionalFormatting>
  <conditionalFormatting sqref="C182">
    <cfRule type="expression" dxfId="0" priority="35">
      <formula>C181="C"</formula>
    </cfRule>
  </conditionalFormatting>
  <conditionalFormatting sqref="C182">
    <cfRule type="expression" dxfId="1" priority="36">
      <formula>AND(C181&lt;&gt;"",C181&lt;&gt;"C")</formula>
    </cfRule>
  </conditionalFormatting>
  <conditionalFormatting sqref="C192">
    <cfRule type="expression" dxfId="0" priority="37">
      <formula>C191="B"</formula>
    </cfRule>
  </conditionalFormatting>
  <conditionalFormatting sqref="C192">
    <cfRule type="expression" dxfId="1" priority="38">
      <formula>AND(C191&lt;&gt;"",C191&lt;&gt;"B")</formula>
    </cfRule>
  </conditionalFormatting>
  <conditionalFormatting sqref="C202">
    <cfRule type="expression" dxfId="0" priority="39">
      <formula>C201="B"</formula>
    </cfRule>
  </conditionalFormatting>
  <conditionalFormatting sqref="C202">
    <cfRule type="expression" dxfId="1" priority="40">
      <formula>AND(C201&lt;&gt;"",C201&lt;&gt;"B")</formula>
    </cfRule>
  </conditionalFormatting>
  <conditionalFormatting sqref="C212">
    <cfRule type="expression" dxfId="0" priority="41">
      <formula>C211="B"</formula>
    </cfRule>
  </conditionalFormatting>
  <conditionalFormatting sqref="C212">
    <cfRule type="expression" dxfId="1" priority="42">
      <formula>AND(C211&lt;&gt;"",C211&lt;&gt;"B")</formula>
    </cfRule>
  </conditionalFormatting>
  <conditionalFormatting sqref="C222">
    <cfRule type="expression" dxfId="0" priority="43">
      <formula>C221="C"</formula>
    </cfRule>
  </conditionalFormatting>
  <conditionalFormatting sqref="C222">
    <cfRule type="expression" dxfId="1" priority="44">
      <formula>AND(C221&lt;&gt;"",C221&lt;&gt;"C")</formula>
    </cfRule>
  </conditionalFormatting>
  <conditionalFormatting sqref="C232">
    <cfRule type="expression" dxfId="0" priority="45">
      <formula>C231="A"</formula>
    </cfRule>
  </conditionalFormatting>
  <conditionalFormatting sqref="C232">
    <cfRule type="expression" dxfId="1" priority="46">
      <formula>AND(C231&lt;&gt;"",C231&lt;&gt;"A")</formula>
    </cfRule>
  </conditionalFormatting>
  <conditionalFormatting sqref="C242">
    <cfRule type="expression" dxfId="0" priority="47">
      <formula>C241="B"</formula>
    </cfRule>
  </conditionalFormatting>
  <conditionalFormatting sqref="C242">
    <cfRule type="expression" dxfId="1" priority="48">
      <formula>AND(C241&lt;&gt;"",C241&lt;&gt;"B")</formula>
    </cfRule>
  </conditionalFormatting>
  <conditionalFormatting sqref="C252">
    <cfRule type="expression" dxfId="0" priority="49">
      <formula>C251="B"</formula>
    </cfRule>
  </conditionalFormatting>
  <conditionalFormatting sqref="C252">
    <cfRule type="expression" dxfId="1" priority="50">
      <formula>AND(C251&lt;&gt;"",C251&lt;&gt;"B")</formula>
    </cfRule>
  </conditionalFormatting>
  <conditionalFormatting sqref="C262">
    <cfRule type="expression" dxfId="0" priority="51">
      <formula>C261="B"</formula>
    </cfRule>
  </conditionalFormatting>
  <conditionalFormatting sqref="C262">
    <cfRule type="expression" dxfId="1" priority="52">
      <formula>AND(C261&lt;&gt;"",C261&lt;&gt;"B")</formula>
    </cfRule>
  </conditionalFormatting>
  <conditionalFormatting sqref="C272">
    <cfRule type="expression" dxfId="0" priority="53">
      <formula>C271="C"</formula>
    </cfRule>
  </conditionalFormatting>
  <conditionalFormatting sqref="C272">
    <cfRule type="expression" dxfId="1" priority="54">
      <formula>AND(C271&lt;&gt;"",C271&lt;&gt;"C")</formula>
    </cfRule>
  </conditionalFormatting>
  <conditionalFormatting sqref="C282">
    <cfRule type="expression" dxfId="0" priority="55">
      <formula>C281="B"</formula>
    </cfRule>
  </conditionalFormatting>
  <conditionalFormatting sqref="C282">
    <cfRule type="expression" dxfId="1" priority="56">
      <formula>AND(C281&lt;&gt;"",C281&lt;&gt;"B")</formula>
    </cfRule>
  </conditionalFormatting>
  <conditionalFormatting sqref="C292">
    <cfRule type="expression" dxfId="0" priority="57">
      <formula>C291="A"</formula>
    </cfRule>
  </conditionalFormatting>
  <conditionalFormatting sqref="C292">
    <cfRule type="expression" dxfId="1" priority="58">
      <formula>AND(C291&lt;&gt;"",C291&lt;&gt;"A")</formula>
    </cfRule>
  </conditionalFormatting>
  <conditionalFormatting sqref="C302">
    <cfRule type="expression" dxfId="0" priority="59">
      <formula>C301="D"</formula>
    </cfRule>
  </conditionalFormatting>
  <conditionalFormatting sqref="C302">
    <cfRule type="expression" dxfId="1" priority="60">
      <formula>AND(C301&lt;&gt;"",C301&lt;&gt;"D")</formula>
    </cfRule>
  </conditionalFormatting>
  <conditionalFormatting sqref="C312">
    <cfRule type="expression" dxfId="0" priority="61">
      <formula>C311="C"</formula>
    </cfRule>
  </conditionalFormatting>
  <conditionalFormatting sqref="C312">
    <cfRule type="expression" dxfId="1" priority="62">
      <formula>AND(C311&lt;&gt;"",C311&lt;&gt;"C")</formula>
    </cfRule>
  </conditionalFormatting>
  <conditionalFormatting sqref="C322">
    <cfRule type="expression" dxfId="0" priority="63">
      <formula>C321="D"</formula>
    </cfRule>
  </conditionalFormatting>
  <conditionalFormatting sqref="C322">
    <cfRule type="expression" dxfId="1" priority="64">
      <formula>AND(C321&lt;&gt;"",C321&lt;&gt;"D")</formula>
    </cfRule>
  </conditionalFormatting>
  <conditionalFormatting sqref="C332">
    <cfRule type="expression" dxfId="0" priority="65">
      <formula>C331="C"</formula>
    </cfRule>
  </conditionalFormatting>
  <conditionalFormatting sqref="C332">
    <cfRule type="expression" dxfId="1" priority="66">
      <formula>AND(C331&lt;&gt;"",C331&lt;&gt;"C")</formula>
    </cfRule>
  </conditionalFormatting>
  <conditionalFormatting sqref="C342">
    <cfRule type="expression" dxfId="0" priority="67">
      <formula>C341="B"</formula>
    </cfRule>
  </conditionalFormatting>
  <conditionalFormatting sqref="C342">
    <cfRule type="expression" dxfId="1" priority="68">
      <formula>AND(C341&lt;&gt;"",C341&lt;&gt;"B")</formula>
    </cfRule>
  </conditionalFormatting>
  <conditionalFormatting sqref="C352">
    <cfRule type="expression" dxfId="0" priority="69">
      <formula>C351="D"</formula>
    </cfRule>
  </conditionalFormatting>
  <conditionalFormatting sqref="C352">
    <cfRule type="expression" dxfId="1" priority="70">
      <formula>AND(C351&lt;&gt;"",C351&lt;&gt;"D")</formula>
    </cfRule>
  </conditionalFormatting>
  <conditionalFormatting sqref="C362">
    <cfRule type="expression" dxfId="0" priority="71">
      <formula>C361="B"</formula>
    </cfRule>
  </conditionalFormatting>
  <conditionalFormatting sqref="C362">
    <cfRule type="expression" dxfId="1" priority="72">
      <formula>AND(C361&lt;&gt;"",C361&lt;&gt;"B")</formula>
    </cfRule>
  </conditionalFormatting>
  <conditionalFormatting sqref="C372">
    <cfRule type="expression" dxfId="0" priority="73">
      <formula>C371="B"</formula>
    </cfRule>
  </conditionalFormatting>
  <conditionalFormatting sqref="C372">
    <cfRule type="expression" dxfId="1" priority="74">
      <formula>AND(C371&lt;&gt;"",C371&lt;&gt;"B")</formula>
    </cfRule>
  </conditionalFormatting>
  <conditionalFormatting sqref="C382">
    <cfRule type="expression" dxfId="0" priority="75">
      <formula>C381="B"</formula>
    </cfRule>
  </conditionalFormatting>
  <conditionalFormatting sqref="C382">
    <cfRule type="expression" dxfId="1" priority="76">
      <formula>AND(C381&lt;&gt;"",C381&lt;&gt;"B")</formula>
    </cfRule>
  </conditionalFormatting>
  <conditionalFormatting sqref="C392">
    <cfRule type="expression" dxfId="0" priority="77">
      <formula>C391="A"</formula>
    </cfRule>
  </conditionalFormatting>
  <conditionalFormatting sqref="C392">
    <cfRule type="expression" dxfId="1" priority="78">
      <formula>AND(C391&lt;&gt;"",C391&lt;&gt;"A")</formula>
    </cfRule>
  </conditionalFormatting>
  <conditionalFormatting sqref="C402">
    <cfRule type="expression" dxfId="0" priority="79">
      <formula>C401="C"</formula>
    </cfRule>
  </conditionalFormatting>
  <conditionalFormatting sqref="C402">
    <cfRule type="expression" dxfId="1" priority="80">
      <formula>AND(C401&lt;&gt;"",C401&lt;&gt;"C")</formula>
    </cfRule>
  </conditionalFormatting>
  <conditionalFormatting sqref="C412">
    <cfRule type="expression" dxfId="0" priority="81">
      <formula>C411="B"</formula>
    </cfRule>
  </conditionalFormatting>
  <conditionalFormatting sqref="C412">
    <cfRule type="expression" dxfId="1" priority="82">
      <formula>AND(C411&lt;&gt;"",C411&lt;&gt;"B")</formula>
    </cfRule>
  </conditionalFormatting>
  <conditionalFormatting sqref="C422">
    <cfRule type="expression" dxfId="0" priority="83">
      <formula>C421="A"</formula>
    </cfRule>
  </conditionalFormatting>
  <conditionalFormatting sqref="C422">
    <cfRule type="expression" dxfId="1" priority="84">
      <formula>AND(C421&lt;&gt;"",C421&lt;&gt;"A")</formula>
    </cfRule>
  </conditionalFormatting>
  <conditionalFormatting sqref="C432">
    <cfRule type="expression" dxfId="0" priority="85">
      <formula>C431="B"</formula>
    </cfRule>
  </conditionalFormatting>
  <conditionalFormatting sqref="C432">
    <cfRule type="expression" dxfId="1" priority="86">
      <formula>AND(C431&lt;&gt;"",C431&lt;&gt;"B")</formula>
    </cfRule>
  </conditionalFormatting>
  <conditionalFormatting sqref="C442">
    <cfRule type="expression" dxfId="0" priority="87">
      <formula>C441="B"</formula>
    </cfRule>
  </conditionalFormatting>
  <conditionalFormatting sqref="C442">
    <cfRule type="expression" dxfId="1" priority="88">
      <formula>AND(C441&lt;&gt;"",C441&lt;&gt;"B")</formula>
    </cfRule>
  </conditionalFormatting>
  <conditionalFormatting sqref="C452">
    <cfRule type="expression" dxfId="0" priority="89">
      <formula>C451="C"</formula>
    </cfRule>
  </conditionalFormatting>
  <conditionalFormatting sqref="C452">
    <cfRule type="expression" dxfId="1" priority="90">
      <formula>AND(C451&lt;&gt;"",C451&lt;&gt;"C")</formula>
    </cfRule>
  </conditionalFormatting>
  <conditionalFormatting sqref="C462">
    <cfRule type="expression" dxfId="0" priority="91">
      <formula>C461="C"</formula>
    </cfRule>
  </conditionalFormatting>
  <conditionalFormatting sqref="C462">
    <cfRule type="expression" dxfId="1" priority="92">
      <formula>AND(C461&lt;&gt;"",C461&lt;&gt;"C")</formula>
    </cfRule>
  </conditionalFormatting>
  <conditionalFormatting sqref="C472">
    <cfRule type="expression" dxfId="0" priority="93">
      <formula>C471="A"</formula>
    </cfRule>
  </conditionalFormatting>
  <conditionalFormatting sqref="C472">
    <cfRule type="expression" dxfId="1" priority="94">
      <formula>AND(C471&lt;&gt;"",C471&lt;&gt;"A")</formula>
    </cfRule>
  </conditionalFormatting>
  <conditionalFormatting sqref="C482">
    <cfRule type="expression" dxfId="0" priority="95">
      <formula>C481="B"</formula>
    </cfRule>
  </conditionalFormatting>
  <conditionalFormatting sqref="C482">
    <cfRule type="expression" dxfId="1" priority="96">
      <formula>AND(C481&lt;&gt;"",C481&lt;&gt;"B")</formula>
    </cfRule>
  </conditionalFormatting>
  <conditionalFormatting sqref="C492">
    <cfRule type="expression" dxfId="0" priority="97">
      <formula>C491="B"</formula>
    </cfRule>
  </conditionalFormatting>
  <conditionalFormatting sqref="C492">
    <cfRule type="expression" dxfId="1" priority="98">
      <formula>AND(C491&lt;&gt;"",C491&lt;&gt;"B")</formula>
    </cfRule>
  </conditionalFormatting>
  <conditionalFormatting sqref="C502">
    <cfRule type="expression" dxfId="0" priority="99">
      <formula>C501="B"</formula>
    </cfRule>
  </conditionalFormatting>
  <conditionalFormatting sqref="C502">
    <cfRule type="expression" dxfId="1" priority="100">
      <formula>AND(C501&lt;&gt;"",C501&lt;&gt;"B")</formula>
    </cfRule>
  </conditionalFormatting>
  <dataValidations>
    <dataValidation type="list" allowBlank="1" sqref="C11 C21 C31 C41 C51 C61 C71 C81 C91 C101 C111 C121 C131 C141 C151 C161 C171 C181 C191 C201 C211 C221 C231 C241 C251 C261 C271 C281 C291 C301 C311 C321 C331 C341 C351 C361 C371 C381 C391 C401 C411 C421 C431 C441 C451 C461 C471 C481 C491 C501">
      <formula1>"A,B,C,D"</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18.0"/>
    <col customWidth="1" min="3" max="3" width="72.0"/>
    <col customWidth="1" min="4" max="4" width="3.0"/>
    <col customWidth="1" min="5" max="26" width="8.71"/>
  </cols>
  <sheetData>
    <row r="1" ht="49.5" customHeight="1">
      <c r="A1" s="1"/>
      <c r="B1" s="2"/>
      <c r="C1" s="2"/>
      <c r="D1" s="1"/>
    </row>
    <row r="2" ht="49.5" customHeight="1">
      <c r="A2" s="1"/>
      <c r="B2" s="4" t="s">
        <v>1</v>
      </c>
      <c r="C2" s="5"/>
      <c r="D2" s="1"/>
    </row>
    <row r="3" ht="31.5" customHeight="1">
      <c r="A3" s="1"/>
      <c r="B3" s="6" t="s">
        <v>290</v>
      </c>
      <c r="C3" s="7"/>
      <c r="D3" s="1"/>
    </row>
    <row r="4">
      <c r="A4" s="1"/>
      <c r="B4" s="1"/>
      <c r="C4" s="1"/>
      <c r="D4" s="1"/>
    </row>
    <row r="5" ht="27.75" customHeight="1">
      <c r="A5" s="1"/>
      <c r="B5" s="8" t="s">
        <v>3</v>
      </c>
      <c r="C5" s="7"/>
      <c r="D5" s="1"/>
    </row>
    <row r="6" ht="57.75" customHeight="1">
      <c r="A6" s="1"/>
      <c r="B6" s="20" t="s">
        <v>437</v>
      </c>
      <c r="C6" s="7"/>
      <c r="D6" s="1"/>
    </row>
    <row r="7" ht="33.75" customHeight="1">
      <c r="A7" s="1"/>
      <c r="B7" s="10" t="s">
        <v>5</v>
      </c>
      <c r="C7" s="21" t="s">
        <v>438</v>
      </c>
      <c r="D7" s="1"/>
    </row>
    <row r="8" ht="33.75" customHeight="1">
      <c r="A8" s="1"/>
      <c r="B8" s="10" t="s">
        <v>7</v>
      </c>
      <c r="C8" s="21" t="s">
        <v>124</v>
      </c>
      <c r="D8" s="1"/>
    </row>
    <row r="9" ht="33.75" customHeight="1">
      <c r="A9" s="1"/>
      <c r="B9" s="10" t="s">
        <v>9</v>
      </c>
      <c r="C9" s="11" t="s">
        <v>439</v>
      </c>
      <c r="D9" s="1"/>
    </row>
    <row r="10" ht="33.75" customHeight="1">
      <c r="A10" s="1"/>
      <c r="B10" s="10" t="s">
        <v>11</v>
      </c>
      <c r="C10" s="21" t="s">
        <v>440</v>
      </c>
      <c r="D10" s="1"/>
    </row>
    <row r="11" ht="42.0" customHeight="1">
      <c r="A11" s="1"/>
      <c r="B11" s="12" t="s">
        <v>13</v>
      </c>
      <c r="C11" s="13"/>
      <c r="D11" s="1"/>
    </row>
    <row r="12" ht="39.75" customHeight="1">
      <c r="A12" s="1"/>
      <c r="B12" s="14" t="s">
        <v>14</v>
      </c>
      <c r="C12" s="15" t="str">
        <f>IF(C11="","← A〜D を選択してください",IF(C11="A","✅ 正解！ 素晴らしいです！","❌ 不正解... 正解は A です！"))</f>
        <v>← A〜D を選択してください</v>
      </c>
      <c r="D12" s="1"/>
    </row>
    <row r="13" ht="79.5" customHeight="1">
      <c r="A13" s="1"/>
      <c r="B13" s="16" t="s">
        <v>15</v>
      </c>
      <c r="C13" s="17" t="str">
        <f>IF(C11="","回答を選択すると解説が表示されます","正解はAです。
ファイアウォールはIPアドレス・ポート番号・プロトコル・アプリケーションに基づいてトラフィックをフィルタリングします。
アクセスポイントは無線接続の提供、VPNゲートウェイは暗号化通信の確立、IDSは不正検知が主な役割です。")</f>
        <v>回答を選択すると解説が表示されます</v>
      </c>
      <c r="D13" s="1"/>
    </row>
    <row r="14" ht="15.75" customHeight="1">
      <c r="A14" s="1"/>
      <c r="B14" s="1"/>
      <c r="C14" s="1"/>
      <c r="D14" s="1"/>
    </row>
    <row r="15" ht="27.75" customHeight="1">
      <c r="A15" s="1"/>
      <c r="B15" s="8" t="s">
        <v>16</v>
      </c>
      <c r="C15" s="7"/>
      <c r="D15" s="1"/>
    </row>
    <row r="16" ht="57.75" customHeight="1">
      <c r="A16" s="1"/>
      <c r="B16" s="9" t="s">
        <v>441</v>
      </c>
      <c r="C16" s="7"/>
      <c r="D16" s="1"/>
    </row>
    <row r="17" ht="33.75" customHeight="1">
      <c r="A17" s="1"/>
      <c r="B17" s="10" t="s">
        <v>5</v>
      </c>
      <c r="C17" s="21" t="s">
        <v>442</v>
      </c>
      <c r="D17" s="1"/>
    </row>
    <row r="18" ht="33.75" customHeight="1">
      <c r="A18" s="1"/>
      <c r="B18" s="10" t="s">
        <v>7</v>
      </c>
      <c r="C18" s="21" t="s">
        <v>443</v>
      </c>
      <c r="D18" s="1"/>
    </row>
    <row r="19" ht="33.75" customHeight="1">
      <c r="A19" s="1"/>
      <c r="B19" s="10" t="s">
        <v>9</v>
      </c>
      <c r="C19" s="21" t="s">
        <v>161</v>
      </c>
      <c r="D19" s="1"/>
    </row>
    <row r="20" ht="33.75" customHeight="1">
      <c r="A20" s="1"/>
      <c r="B20" s="10" t="s">
        <v>11</v>
      </c>
      <c r="C20" s="21" t="s">
        <v>444</v>
      </c>
      <c r="D20" s="1"/>
    </row>
    <row r="21" ht="42.0" customHeight="1">
      <c r="A21" s="1"/>
      <c r="B21" s="12" t="s">
        <v>13</v>
      </c>
      <c r="C21" s="13"/>
      <c r="D21" s="1"/>
    </row>
    <row r="22" ht="39.75" customHeight="1">
      <c r="A22" s="1"/>
      <c r="B22" s="14" t="s">
        <v>14</v>
      </c>
      <c r="C22" s="15" t="str">
        <f>IF(C21="","← A〜D を選択してください",IF(C21="C","✅ 正解！ 素晴らしいです！","❌ 不正解... 正解は C です！"))</f>
        <v>← A〜D を選択してください</v>
      </c>
      <c r="D22" s="1"/>
    </row>
    <row r="23" ht="79.5" customHeight="1">
      <c r="A23" s="1"/>
      <c r="B23" s="16" t="s">
        <v>15</v>
      </c>
      <c r="C23" s="17" t="str">
        <f>IF(C21="","回答を選択すると解説が表示されます","正解はCです。
異なるVLAN間の通信には、デフォルトゲートウェイ（Layer 3デバイス）が必要です。
VLAN2のコンピューターがVLAN2外に通信するには、ルーターまたはLayer 3スイッチのIPアドレスをデフォルトゲートウェイとして設定する必要があります。")</f>
        <v>回答を選択すると解説が表示されます</v>
      </c>
      <c r="D23" s="1"/>
    </row>
    <row r="24" ht="15.75" customHeight="1">
      <c r="A24" s="1"/>
      <c r="B24" s="1"/>
      <c r="C24" s="1"/>
      <c r="D24" s="1"/>
    </row>
    <row r="25" ht="27.75" customHeight="1">
      <c r="A25" s="1"/>
      <c r="B25" s="8" t="s">
        <v>23</v>
      </c>
      <c r="C25" s="7"/>
      <c r="D25" s="1"/>
    </row>
    <row r="26" ht="57.75" customHeight="1">
      <c r="A26" s="1"/>
      <c r="B26" s="9" t="s">
        <v>445</v>
      </c>
      <c r="C26" s="7"/>
      <c r="D26" s="1"/>
    </row>
    <row r="27" ht="33.75" customHeight="1">
      <c r="A27" s="1"/>
      <c r="B27" s="10" t="s">
        <v>5</v>
      </c>
      <c r="C27" s="11" t="s">
        <v>446</v>
      </c>
      <c r="D27" s="1"/>
    </row>
    <row r="28" ht="33.75" customHeight="1">
      <c r="A28" s="1"/>
      <c r="B28" s="10" t="s">
        <v>7</v>
      </c>
      <c r="C28" s="21" t="s">
        <v>447</v>
      </c>
      <c r="D28" s="1"/>
    </row>
    <row r="29" ht="33.75" customHeight="1">
      <c r="A29" s="1"/>
      <c r="B29" s="10" t="s">
        <v>9</v>
      </c>
      <c r="C29" s="21" t="s">
        <v>448</v>
      </c>
      <c r="D29" s="1"/>
    </row>
    <row r="30" ht="33.75" customHeight="1">
      <c r="A30" s="1"/>
      <c r="B30" s="10" t="s">
        <v>11</v>
      </c>
      <c r="C30" s="21" t="s">
        <v>449</v>
      </c>
      <c r="D30" s="1"/>
    </row>
    <row r="31" ht="42.0" customHeight="1">
      <c r="A31" s="1"/>
      <c r="B31" s="12" t="s">
        <v>13</v>
      </c>
      <c r="C31" s="13"/>
      <c r="D31" s="1"/>
    </row>
    <row r="32" ht="39.75" customHeight="1">
      <c r="A32" s="1"/>
      <c r="B32" s="14" t="s">
        <v>14</v>
      </c>
      <c r="C32" s="15" t="str">
        <f>IF(C31="","← A〜D を選択してください",IF(C31="A","✅ 正解！ 素晴らしいです！","❌ 不正解... 正解は A です！"))</f>
        <v>← A〜D を選択してください</v>
      </c>
      <c r="D32" s="1"/>
    </row>
    <row r="33" ht="60.0" customHeight="1">
      <c r="A33" s="1"/>
      <c r="B33" s="16" t="s">
        <v>15</v>
      </c>
      <c r="C33" s="17" t="str">
        <f>IF(C31="","回答を選択すると解説が表示されます","正解はAです。
Layer 2スイッチのManagement VLAN（通常はVLAN 1）にIPアドレスを設定することで、ネットワーク経由でTelnetやSSHを使用してスイッチのCLIにリモートアクセスできるようになります。")</f>
        <v>回答を選択すると解説が表示されます</v>
      </c>
      <c r="D33" s="1"/>
    </row>
    <row r="34" ht="15.75" customHeight="1">
      <c r="A34" s="1"/>
      <c r="B34" s="1"/>
      <c r="C34" s="1"/>
      <c r="D34" s="1"/>
    </row>
    <row r="35" ht="27.75" customHeight="1">
      <c r="A35" s="1"/>
      <c r="B35" s="8" t="s">
        <v>29</v>
      </c>
      <c r="C35" s="7"/>
      <c r="D35" s="1"/>
    </row>
    <row r="36" ht="57.75" customHeight="1">
      <c r="A36" s="1"/>
      <c r="B36" s="9" t="s">
        <v>450</v>
      </c>
      <c r="C36" s="7"/>
      <c r="D36" s="1"/>
    </row>
    <row r="37" ht="33.75" customHeight="1">
      <c r="A37" s="1"/>
      <c r="B37" s="10" t="s">
        <v>5</v>
      </c>
      <c r="C37" s="11" t="s">
        <v>451</v>
      </c>
      <c r="D37" s="1"/>
    </row>
    <row r="38" ht="33.75" customHeight="1">
      <c r="A38" s="1"/>
      <c r="B38" s="10" t="s">
        <v>7</v>
      </c>
      <c r="C38" s="11" t="s">
        <v>452</v>
      </c>
      <c r="D38" s="1"/>
    </row>
    <row r="39" ht="33.75" customHeight="1">
      <c r="A39" s="1"/>
      <c r="B39" s="10" t="s">
        <v>9</v>
      </c>
      <c r="C39" s="11" t="s">
        <v>453</v>
      </c>
      <c r="D39" s="1"/>
    </row>
    <row r="40" ht="33.75" customHeight="1">
      <c r="A40" s="1"/>
      <c r="B40" s="10" t="s">
        <v>11</v>
      </c>
      <c r="C40" s="11" t="s">
        <v>454</v>
      </c>
      <c r="D40" s="1"/>
    </row>
    <row r="41" ht="42.0" customHeight="1">
      <c r="A41" s="1"/>
      <c r="B41" s="12" t="s">
        <v>13</v>
      </c>
      <c r="C41" s="13"/>
      <c r="D41" s="1"/>
    </row>
    <row r="42" ht="39.75" customHeight="1">
      <c r="A42" s="1"/>
      <c r="B42" s="14" t="s">
        <v>14</v>
      </c>
      <c r="C42" s="15" t="str">
        <f>IF(C41="","← A〜D を選択してください",IF(C41="B","✅ 正解！ 素晴らしいです！","❌ 不正解... 正解は B です！"))</f>
        <v>← A〜D を選択してください</v>
      </c>
      <c r="D42" s="1"/>
    </row>
    <row r="43" ht="79.5" customHeight="1">
      <c r="A43" s="1"/>
      <c r="B43" s="16" t="s">
        <v>15</v>
      </c>
      <c r="C43" s="17" t="str">
        <f>IF(C41="","回答を選択すると解説が表示されます","正解はBです。
リアルタイムで進行中のオンラインウェビナーへの影響は即時対応が必要です。
トラブルシューティングの優先順位は「ビジネスへの影響度」と「緊急性」に基づいて判断します。進行中のイベントへの影響が最も高優先度です。")</f>
        <v>回答を選択すると解説が表示されます</v>
      </c>
      <c r="D43" s="1"/>
    </row>
    <row r="44" ht="15.75" customHeight="1">
      <c r="A44" s="1"/>
      <c r="B44" s="1"/>
      <c r="C44" s="1"/>
      <c r="D44" s="1"/>
    </row>
    <row r="45" ht="27.75" customHeight="1">
      <c r="A45" s="1"/>
      <c r="B45" s="8" t="s">
        <v>36</v>
      </c>
      <c r="C45" s="7"/>
      <c r="D45" s="1"/>
    </row>
    <row r="46" ht="57.75" customHeight="1">
      <c r="A46" s="1"/>
      <c r="B46" s="9" t="s">
        <v>455</v>
      </c>
      <c r="C46" s="7"/>
      <c r="D46" s="1"/>
    </row>
    <row r="47" ht="33.75" customHeight="1">
      <c r="A47" s="1"/>
      <c r="B47" s="10" t="s">
        <v>5</v>
      </c>
      <c r="C47" s="11" t="s">
        <v>456</v>
      </c>
      <c r="D47" s="1"/>
    </row>
    <row r="48" ht="33.75" customHeight="1">
      <c r="A48" s="1"/>
      <c r="B48" s="10" t="s">
        <v>7</v>
      </c>
      <c r="C48" s="11" t="s">
        <v>457</v>
      </c>
      <c r="D48" s="1"/>
    </row>
    <row r="49" ht="33.75" customHeight="1">
      <c r="A49" s="1"/>
      <c r="B49" s="10" t="s">
        <v>9</v>
      </c>
      <c r="C49" s="11" t="s">
        <v>458</v>
      </c>
      <c r="D49" s="1"/>
    </row>
    <row r="50" ht="33.75" customHeight="1">
      <c r="A50" s="1"/>
      <c r="B50" s="10" t="s">
        <v>11</v>
      </c>
      <c r="C50" s="11" t="s">
        <v>459</v>
      </c>
      <c r="D50" s="1"/>
    </row>
    <row r="51" ht="42.0" customHeight="1">
      <c r="A51" s="1"/>
      <c r="B51" s="12" t="s">
        <v>13</v>
      </c>
      <c r="C51" s="13"/>
      <c r="D51" s="1"/>
    </row>
    <row r="52" ht="39.75" customHeight="1">
      <c r="A52" s="1"/>
      <c r="B52" s="14" t="s">
        <v>14</v>
      </c>
      <c r="C52" s="15" t="str">
        <f>IF(C51="","← A〜D を選択してください",IF(C51="C","✅ 正解！ 素晴らしいです！","❌ 不正解... 正解は C です！"))</f>
        <v>← A〜D を選択してください</v>
      </c>
      <c r="D52" s="1"/>
    </row>
    <row r="53" ht="99.75" customHeight="1">
      <c r="A53" s="1"/>
      <c r="B53" s="16" t="s">
        <v>15</v>
      </c>
      <c r="C53" s="17" t="str">
        <f>IF(C51="","回答を選択すると解説が表示されます","正解はCです。
/27はホスト部が5ビットです。
11111111.11111111.11111111.11100000 = 255.255.255.224 が/27のサブネットマスクです。
使用可能なホスト数は 2^5-2=30 個です。")</f>
        <v>回答を選択すると解説が表示されます</v>
      </c>
      <c r="D53" s="1"/>
    </row>
    <row r="54" ht="15.75" customHeight="1">
      <c r="A54" s="1"/>
      <c r="B54" s="1"/>
      <c r="C54" s="1"/>
      <c r="D54" s="1"/>
    </row>
    <row r="55" ht="27.75" customHeight="1">
      <c r="A55" s="1"/>
      <c r="B55" s="8" t="s">
        <v>42</v>
      </c>
      <c r="C55" s="7"/>
      <c r="D55" s="1"/>
    </row>
    <row r="56" ht="57.75" customHeight="1">
      <c r="A56" s="1"/>
      <c r="B56" s="9" t="s">
        <v>460</v>
      </c>
      <c r="C56" s="7"/>
      <c r="D56" s="1"/>
    </row>
    <row r="57" ht="33.75" customHeight="1">
      <c r="A57" s="1"/>
      <c r="B57" s="10" t="s">
        <v>5</v>
      </c>
      <c r="C57" s="11" t="s">
        <v>461</v>
      </c>
      <c r="D57" s="1"/>
    </row>
    <row r="58" ht="33.75" customHeight="1">
      <c r="A58" s="1"/>
      <c r="B58" s="10" t="s">
        <v>7</v>
      </c>
      <c r="C58" s="11" t="s">
        <v>121</v>
      </c>
      <c r="D58" s="1"/>
    </row>
    <row r="59" ht="33.75" customHeight="1">
      <c r="A59" s="1"/>
      <c r="B59" s="10" t="s">
        <v>9</v>
      </c>
      <c r="C59" s="11" t="s">
        <v>118</v>
      </c>
      <c r="D59" s="1"/>
    </row>
    <row r="60" ht="33.75" customHeight="1">
      <c r="A60" s="1"/>
      <c r="B60" s="10" t="s">
        <v>11</v>
      </c>
      <c r="C60" s="11" t="s">
        <v>119</v>
      </c>
      <c r="D60" s="1"/>
    </row>
    <row r="61" ht="42.0" customHeight="1">
      <c r="A61" s="1"/>
      <c r="B61" s="12" t="s">
        <v>13</v>
      </c>
      <c r="C61" s="13"/>
      <c r="D61" s="1"/>
    </row>
    <row r="62" ht="39.75" customHeight="1">
      <c r="A62" s="1"/>
      <c r="B62" s="14" t="s">
        <v>14</v>
      </c>
      <c r="C62" s="15" t="str">
        <f>IF(C61="","← A〜D を選択してください",IF(C61="B","✅ 正解！ 素晴らしいです！","❌ 不正解... 正解は B です！"))</f>
        <v>← A〜D を選択してください</v>
      </c>
      <c r="D62" s="1"/>
    </row>
    <row r="63" ht="79.5" customHeight="1">
      <c r="A63" s="1"/>
      <c r="B63" s="16" t="s">
        <v>15</v>
      </c>
      <c r="C63" s="17" t="str">
        <f>IF(C61="","回答を選択すると解説が表示されます","正解はBです。
EthernetはTCP/IPモデルのネットワークインターフェース層（データリンク層）に関連するプロトコルです。
UDP・TCPはトランスポート層、IPはインターネット層のプロトコルです。")</f>
        <v>回答を選択すると解説が表示されます</v>
      </c>
      <c r="D63" s="1"/>
    </row>
    <row r="64" ht="15.75" customHeight="1">
      <c r="A64" s="1"/>
      <c r="B64" s="1"/>
      <c r="C64" s="1"/>
      <c r="D64" s="1"/>
    </row>
    <row r="65" ht="27.75" customHeight="1">
      <c r="A65" s="1"/>
      <c r="B65" s="8" t="s">
        <v>48</v>
      </c>
      <c r="C65" s="7"/>
      <c r="D65" s="1"/>
    </row>
    <row r="66" ht="57.75" customHeight="1">
      <c r="A66" s="1"/>
      <c r="B66" s="9" t="s">
        <v>462</v>
      </c>
      <c r="C66" s="7"/>
      <c r="D66" s="1"/>
    </row>
    <row r="67" ht="33.75" customHeight="1">
      <c r="A67" s="1"/>
      <c r="B67" s="10" t="s">
        <v>5</v>
      </c>
      <c r="C67" s="21" t="s">
        <v>463</v>
      </c>
      <c r="D67" s="1"/>
    </row>
    <row r="68" ht="33.75" customHeight="1">
      <c r="A68" s="1"/>
      <c r="B68" s="10" t="s">
        <v>7</v>
      </c>
      <c r="C68" s="11" t="s">
        <v>464</v>
      </c>
      <c r="D68" s="1"/>
    </row>
    <row r="69" ht="33.75" customHeight="1">
      <c r="A69" s="1"/>
      <c r="B69" s="10" t="s">
        <v>9</v>
      </c>
      <c r="C69" s="21" t="s">
        <v>465</v>
      </c>
      <c r="D69" s="1"/>
    </row>
    <row r="70" ht="33.75" customHeight="1">
      <c r="A70" s="1"/>
      <c r="B70" s="10" t="s">
        <v>11</v>
      </c>
      <c r="C70" s="21" t="s">
        <v>466</v>
      </c>
      <c r="D70" s="1"/>
    </row>
    <row r="71" ht="42.0" customHeight="1">
      <c r="A71" s="1"/>
      <c r="B71" s="12" t="s">
        <v>13</v>
      </c>
      <c r="C71" s="13"/>
      <c r="D71" s="1"/>
    </row>
    <row r="72" ht="39.75" customHeight="1">
      <c r="A72" s="1"/>
      <c r="B72" s="14" t="s">
        <v>14</v>
      </c>
      <c r="C72" s="15" t="str">
        <f>IF(C71="","← A〜D を選択してください",IF(C71="A","✅ 正解！ 素晴らしいです！","❌ 不正解... 正解は A です！"))</f>
        <v>← A〜D を選択してください</v>
      </c>
      <c r="D72" s="1"/>
    </row>
    <row r="73" ht="79.5" customHeight="1">
      <c r="A73" s="1"/>
      <c r="B73" s="16" t="s">
        <v>15</v>
      </c>
      <c r="C73" s="17" t="str">
        <f>IF(C71="","回答を選択すると解説が表示されます","正解はAです。
TCPはフロー制御（受信バッファの状態に合わせて送信量を調整）、順序保証、再送制御を持つ信頼性の高いプロトコルです。
UDPよりは遅いですが、確実なデータ配信が必要な場合に使用されます。")</f>
        <v>回答を選択すると解説が表示されます</v>
      </c>
      <c r="D73" s="1"/>
    </row>
    <row r="74" ht="15.75" customHeight="1">
      <c r="A74" s="1"/>
      <c r="B74" s="1"/>
      <c r="C74" s="1"/>
      <c r="D74" s="1"/>
    </row>
    <row r="75" ht="27.75" customHeight="1">
      <c r="A75" s="1"/>
      <c r="B75" s="8" t="s">
        <v>54</v>
      </c>
      <c r="C75" s="7"/>
      <c r="D75" s="1"/>
    </row>
    <row r="76" ht="57.75" customHeight="1">
      <c r="A76" s="1"/>
      <c r="B76" s="9" t="s">
        <v>467</v>
      </c>
      <c r="C76" s="7"/>
      <c r="D76" s="1"/>
    </row>
    <row r="77" ht="33.75" customHeight="1">
      <c r="A77" s="1"/>
      <c r="B77" s="10" t="s">
        <v>5</v>
      </c>
      <c r="C77" s="21" t="s">
        <v>468</v>
      </c>
      <c r="D77" s="1"/>
    </row>
    <row r="78" ht="33.75" customHeight="1">
      <c r="A78" s="1"/>
      <c r="B78" s="10" t="s">
        <v>7</v>
      </c>
      <c r="C78" s="11" t="s">
        <v>469</v>
      </c>
      <c r="D78" s="1"/>
    </row>
    <row r="79" ht="33.75" customHeight="1">
      <c r="A79" s="1"/>
      <c r="B79" s="10" t="s">
        <v>9</v>
      </c>
      <c r="C79" s="11" t="s">
        <v>470</v>
      </c>
      <c r="D79" s="1"/>
    </row>
    <row r="80" ht="33.75" customHeight="1">
      <c r="A80" s="1"/>
      <c r="B80" s="10" t="s">
        <v>11</v>
      </c>
      <c r="C80" s="11" t="s">
        <v>471</v>
      </c>
      <c r="D80" s="1"/>
    </row>
    <row r="81" ht="42.0" customHeight="1">
      <c r="A81" s="1"/>
      <c r="B81" s="12" t="s">
        <v>13</v>
      </c>
      <c r="C81" s="13"/>
      <c r="D81" s="1"/>
    </row>
    <row r="82" ht="39.75" customHeight="1">
      <c r="A82" s="1"/>
      <c r="B82" s="14" t="s">
        <v>14</v>
      </c>
      <c r="C82" s="15" t="str">
        <f>IF(C81="","← A〜D を選択してください",IF(C81="A","✅ 正解！ 素晴らしいです！","❌ 不正解... 正解は A です！"))</f>
        <v>← A〜D を選択してください</v>
      </c>
      <c r="D82" s="1"/>
    </row>
    <row r="83" ht="79.5" customHeight="1">
      <c r="A83" s="1"/>
      <c r="B83" s="16" t="s">
        <v>15</v>
      </c>
      <c r="C83" s="17" t="str">
        <f>IF(C81="","回答を選択すると解説が表示されます","正解はAです。
VoIP（音声通話）はリアルタイム性が最優先で、多少のパケットロスより遅延がない方が重要なため、UDPが適しています。
FTP・SSH・HTTPSは確実なデータ転送が必要なためTCPを使用します。")</f>
        <v>回答を選択すると解説が表示されます</v>
      </c>
      <c r="D83" s="1"/>
    </row>
    <row r="84" ht="15.75" customHeight="1">
      <c r="A84" s="1"/>
      <c r="B84" s="1"/>
      <c r="C84" s="1"/>
      <c r="D84" s="1"/>
    </row>
    <row r="85" ht="27.75" customHeight="1">
      <c r="A85" s="1"/>
      <c r="B85" s="8" t="s">
        <v>61</v>
      </c>
      <c r="C85" s="7"/>
      <c r="D85" s="1"/>
    </row>
    <row r="86" ht="57.75" customHeight="1">
      <c r="A86" s="1"/>
      <c r="B86" s="20" t="s">
        <v>472</v>
      </c>
      <c r="C86" s="7"/>
      <c r="D86" s="1"/>
    </row>
    <row r="87" ht="33.75" customHeight="1">
      <c r="A87" s="1"/>
      <c r="B87" s="10" t="s">
        <v>5</v>
      </c>
      <c r="C87" s="21" t="s">
        <v>473</v>
      </c>
      <c r="D87" s="1"/>
    </row>
    <row r="88" ht="33.75" customHeight="1">
      <c r="A88" s="1"/>
      <c r="B88" s="10" t="s">
        <v>7</v>
      </c>
      <c r="C88" s="11" t="s">
        <v>474</v>
      </c>
      <c r="D88" s="1"/>
    </row>
    <row r="89" ht="33.75" customHeight="1">
      <c r="A89" s="1"/>
      <c r="B89" s="10" t="s">
        <v>9</v>
      </c>
      <c r="C89" s="21" t="s">
        <v>475</v>
      </c>
      <c r="D89" s="1"/>
    </row>
    <row r="90" ht="33.75" customHeight="1">
      <c r="A90" s="1"/>
      <c r="B90" s="10" t="s">
        <v>11</v>
      </c>
      <c r="C90" s="21" t="s">
        <v>476</v>
      </c>
      <c r="D90" s="1"/>
    </row>
    <row r="91" ht="42.0" customHeight="1">
      <c r="A91" s="1"/>
      <c r="B91" s="12" t="s">
        <v>13</v>
      </c>
      <c r="C91" s="13"/>
      <c r="D91" s="1"/>
    </row>
    <row r="92" ht="39.75" customHeight="1">
      <c r="A92" s="1"/>
      <c r="B92" s="14" t="s">
        <v>14</v>
      </c>
      <c r="C92" s="15" t="str">
        <f>IF(C91="","← A〜D を選択してください",IF(C91="C","✅ 正解！ 素晴らしいです！","❌ 不正解... 正解は C です！"))</f>
        <v>← A〜D を選択してください</v>
      </c>
      <c r="D92" s="1"/>
    </row>
    <row r="93" ht="79.5" customHeight="1">
      <c r="A93" s="1"/>
      <c r="B93" s="16" t="s">
        <v>15</v>
      </c>
      <c r="C93" s="17" t="str">
        <f>IF(C91="","回答を選択すると解説が表示されます","正解はCです。
SSID（Service Set Identifier）はWi-Fiネットワークの名前（識別子）です。
スマートフォンのWi-Fi設定画面に表示されるネットワーク名がSSIDです。パスワードとは別の概念です。")</f>
        <v>回答を選択すると解説が表示されます</v>
      </c>
      <c r="D93" s="1"/>
    </row>
    <row r="94" ht="15.75" customHeight="1">
      <c r="A94" s="1"/>
      <c r="B94" s="1"/>
      <c r="C94" s="1"/>
      <c r="D94" s="1"/>
    </row>
    <row r="95" ht="27.75" customHeight="1">
      <c r="A95" s="1"/>
      <c r="B95" s="8" t="s">
        <v>68</v>
      </c>
      <c r="C95" s="7"/>
      <c r="D95" s="1"/>
    </row>
    <row r="96" ht="57.75" customHeight="1">
      <c r="A96" s="1"/>
      <c r="B96" s="20" t="s">
        <v>477</v>
      </c>
      <c r="C96" s="7"/>
      <c r="D96" s="1"/>
    </row>
    <row r="97" ht="33.75" customHeight="1">
      <c r="A97" s="1"/>
      <c r="B97" s="10" t="s">
        <v>5</v>
      </c>
      <c r="C97" s="11" t="s">
        <v>478</v>
      </c>
      <c r="D97" s="1"/>
    </row>
    <row r="98" ht="33.75" customHeight="1">
      <c r="A98" s="1"/>
      <c r="B98" s="10" t="s">
        <v>7</v>
      </c>
      <c r="C98" s="11" t="s">
        <v>479</v>
      </c>
      <c r="D98" s="1"/>
    </row>
    <row r="99" ht="33.75" customHeight="1">
      <c r="A99" s="1"/>
      <c r="B99" s="10" t="s">
        <v>9</v>
      </c>
      <c r="C99" s="11" t="s">
        <v>480</v>
      </c>
      <c r="D99" s="1"/>
    </row>
    <row r="100" ht="33.75" customHeight="1">
      <c r="A100" s="1"/>
      <c r="B100" s="10" t="s">
        <v>11</v>
      </c>
      <c r="C100" s="11" t="s">
        <v>71</v>
      </c>
      <c r="D100" s="1"/>
    </row>
    <row r="101" ht="42.0" customHeight="1">
      <c r="A101" s="1"/>
      <c r="B101" s="12" t="s">
        <v>13</v>
      </c>
      <c r="C101" s="13"/>
      <c r="D101" s="1"/>
    </row>
    <row r="102" ht="39.75" customHeight="1">
      <c r="A102" s="1"/>
      <c r="B102" s="14" t="s">
        <v>14</v>
      </c>
      <c r="C102" s="15" t="str">
        <f>IF(C101="","← A〜D を選択してください",IF(C101="A","✅ 正解！ 素晴らしいです！","❌ 不正解... 正解は A です！"))</f>
        <v>← A〜D を選択してください</v>
      </c>
      <c r="D102" s="1"/>
    </row>
    <row r="103" ht="99.75" customHeight="1">
      <c r="A103" s="1"/>
      <c r="B103" s="16" t="s">
        <v>15</v>
      </c>
      <c r="C103" s="17" t="str">
        <f>IF(C101="","回答を選択すると解説が表示されます","正解はAです。
iPerfはネットワークのスループット（実際の転送速度）を測定するツールです。
サーバー側とクライアント側でiPerfを起動し、実際のデータ転送速度を計測します。
pingは遅延測定、tracertは経路追跡、mtrはping+tracertの組み合わせです。")</f>
        <v>回答を選択すると解説が表示されます</v>
      </c>
      <c r="D103" s="1"/>
    </row>
    <row r="104" ht="15.75" customHeight="1">
      <c r="A104" s="1"/>
      <c r="B104" s="1"/>
      <c r="C104" s="1"/>
      <c r="D104" s="1"/>
    </row>
    <row r="105" ht="27.75" customHeight="1">
      <c r="A105" s="1"/>
      <c r="B105" s="8" t="s">
        <v>74</v>
      </c>
      <c r="C105" s="7"/>
      <c r="D105" s="1"/>
    </row>
    <row r="106" ht="57.75" customHeight="1">
      <c r="A106" s="1"/>
      <c r="B106" s="9" t="s">
        <v>481</v>
      </c>
      <c r="C106" s="7"/>
      <c r="D106" s="1"/>
    </row>
    <row r="107" ht="33.75" customHeight="1">
      <c r="A107" s="1"/>
      <c r="B107" s="10" t="s">
        <v>5</v>
      </c>
      <c r="C107" s="11" t="s">
        <v>482</v>
      </c>
      <c r="D107" s="1"/>
    </row>
    <row r="108" ht="33.75" customHeight="1">
      <c r="A108" s="1"/>
      <c r="B108" s="10" t="s">
        <v>7</v>
      </c>
      <c r="C108" s="11" t="s">
        <v>483</v>
      </c>
      <c r="D108" s="1"/>
    </row>
    <row r="109" ht="33.75" customHeight="1">
      <c r="A109" s="1"/>
      <c r="B109" s="10" t="s">
        <v>9</v>
      </c>
      <c r="C109" s="11" t="s">
        <v>484</v>
      </c>
      <c r="D109" s="1"/>
    </row>
    <row r="110" ht="33.75" customHeight="1">
      <c r="A110" s="1"/>
      <c r="B110" s="10" t="s">
        <v>11</v>
      </c>
      <c r="C110" s="11" t="s">
        <v>485</v>
      </c>
      <c r="D110" s="1"/>
    </row>
    <row r="111" ht="42.0" customHeight="1">
      <c r="A111" s="1"/>
      <c r="B111" s="12" t="s">
        <v>13</v>
      </c>
      <c r="C111" s="13"/>
      <c r="D111" s="1"/>
    </row>
    <row r="112" ht="39.75" customHeight="1">
      <c r="A112" s="1"/>
      <c r="B112" s="14" t="s">
        <v>14</v>
      </c>
      <c r="C112" s="15" t="str">
        <f>IF(C111="","← A〜D を選択してください",IF(C111="D","✅ 正解！ 素晴らしいです！","❌ 不正解... 正解は D です！"))</f>
        <v>← A〜D を選択してください</v>
      </c>
      <c r="D112" s="1"/>
    </row>
    <row r="113" ht="99.75" customHeight="1">
      <c r="A113" s="1"/>
      <c r="B113" s="16" t="s">
        <v>15</v>
      </c>
      <c r="C113" s="17" t="str">
        <f>IF(C111="","回答を選択すると解説が表示されます","正解はDです。
SSH（Secure Shell）はTCP 22番ポートを使用します。
TCP 20/21はFTP（20番はデータ転送、21番は制御）、TCP 23はTelnet（非推奨）です。
SSH = TCP 22番と必ず覚えましょう。")</f>
        <v>回答を選択すると解説が表示されます</v>
      </c>
      <c r="D113" s="1"/>
    </row>
    <row r="114" ht="15.75" customHeight="1">
      <c r="A114" s="1"/>
      <c r="B114" s="1"/>
      <c r="C114" s="1"/>
      <c r="D114" s="1"/>
    </row>
    <row r="115" ht="27.75" customHeight="1">
      <c r="A115" s="1"/>
      <c r="B115" s="8" t="s">
        <v>80</v>
      </c>
      <c r="C115" s="7"/>
      <c r="D115" s="1"/>
    </row>
    <row r="116" ht="57.75" customHeight="1">
      <c r="A116" s="1"/>
      <c r="B116" s="20" t="s">
        <v>486</v>
      </c>
      <c r="C116" s="7"/>
      <c r="D116" s="1"/>
    </row>
    <row r="117" ht="33.75" customHeight="1">
      <c r="A117" s="1"/>
      <c r="B117" s="10" t="s">
        <v>5</v>
      </c>
      <c r="C117" s="11" t="s">
        <v>487</v>
      </c>
      <c r="D117" s="1"/>
    </row>
    <row r="118" ht="33.75" customHeight="1">
      <c r="A118" s="1"/>
      <c r="B118" s="10" t="s">
        <v>7</v>
      </c>
      <c r="C118" s="11" t="s">
        <v>488</v>
      </c>
      <c r="D118" s="1"/>
    </row>
    <row r="119" ht="33.75" customHeight="1">
      <c r="A119" s="1"/>
      <c r="B119" s="10" t="s">
        <v>9</v>
      </c>
      <c r="C119" s="11" t="s">
        <v>489</v>
      </c>
      <c r="D119" s="1"/>
    </row>
    <row r="120" ht="33.75" customHeight="1">
      <c r="A120" s="1"/>
      <c r="B120" s="10" t="s">
        <v>11</v>
      </c>
      <c r="C120" s="11" t="s">
        <v>490</v>
      </c>
      <c r="D120" s="1"/>
    </row>
    <row r="121" ht="42.0" customHeight="1">
      <c r="A121" s="1"/>
      <c r="B121" s="12" t="s">
        <v>13</v>
      </c>
      <c r="C121" s="13"/>
      <c r="D121" s="1"/>
    </row>
    <row r="122" ht="39.75" customHeight="1">
      <c r="A122" s="1"/>
      <c r="B122" s="14" t="s">
        <v>14</v>
      </c>
      <c r="C122" s="15" t="str">
        <f>IF(C121="","← A〜D を選択してください",IF(C121="A","✅ 正解！ 素晴らしいです！","❌ 不正解... 正解は A です！"))</f>
        <v>← A〜D を選択してください</v>
      </c>
      <c r="D122" s="1"/>
    </row>
    <row r="123" ht="79.5" customHeight="1">
      <c r="A123" s="1"/>
      <c r="B123" s="16" t="s">
        <v>15</v>
      </c>
      <c r="C123" s="17" t="str">
        <f>IF(C121="","回答を選択すると解説が表示されます","正解はAです。
MMF（マルチモードファイバー）はLEDや低コストのレーザーを光源として使用し、短距離通信に適しています。
SMF（シングルモードファイバー）はレーザーダイオードを使用し、単一の光路で長距離伝送が可能です。")</f>
        <v>回答を選択すると解説が表示されます</v>
      </c>
      <c r="D123" s="1"/>
    </row>
    <row r="124" ht="15.75" customHeight="1">
      <c r="A124" s="1"/>
      <c r="B124" s="1"/>
      <c r="C124" s="1"/>
      <c r="D124" s="1"/>
    </row>
    <row r="125" ht="27.75" customHeight="1">
      <c r="A125" s="1"/>
      <c r="B125" s="8" t="s">
        <v>86</v>
      </c>
      <c r="C125" s="7"/>
      <c r="D125" s="1"/>
    </row>
    <row r="126" ht="57.75" customHeight="1">
      <c r="A126" s="1"/>
      <c r="B126" s="20" t="s">
        <v>491</v>
      </c>
      <c r="C126" s="7"/>
      <c r="D126" s="1"/>
    </row>
    <row r="127" ht="33.75" customHeight="1">
      <c r="A127" s="1"/>
      <c r="B127" s="10" t="s">
        <v>5</v>
      </c>
      <c r="C127" s="11" t="s">
        <v>492</v>
      </c>
      <c r="D127" s="1"/>
    </row>
    <row r="128" ht="33.75" customHeight="1">
      <c r="A128" s="1"/>
      <c r="B128" s="10" t="s">
        <v>7</v>
      </c>
      <c r="C128" s="11" t="s">
        <v>493</v>
      </c>
      <c r="D128" s="1"/>
    </row>
    <row r="129" ht="33.75" customHeight="1">
      <c r="A129" s="1"/>
      <c r="B129" s="10" t="s">
        <v>9</v>
      </c>
      <c r="C129" s="11" t="s">
        <v>494</v>
      </c>
      <c r="D129" s="1"/>
    </row>
    <row r="130" ht="33.75" customHeight="1">
      <c r="A130" s="1"/>
      <c r="B130" s="10" t="s">
        <v>11</v>
      </c>
      <c r="C130" s="11" t="s">
        <v>495</v>
      </c>
      <c r="D130" s="1"/>
    </row>
    <row r="131" ht="42.0" customHeight="1">
      <c r="A131" s="1"/>
      <c r="B131" s="12" t="s">
        <v>13</v>
      </c>
      <c r="C131" s="13"/>
      <c r="D131" s="1"/>
    </row>
    <row r="132" ht="39.75" customHeight="1">
      <c r="A132" s="1"/>
      <c r="B132" s="14" t="s">
        <v>14</v>
      </c>
      <c r="C132" s="15" t="str">
        <f>IF(C131="","← A〜D を選択してください",IF(C131="A","✅ 正解！ 素晴らしいです！","❌ 不正解... 正解は A です！"))</f>
        <v>← A〜D を選択してください</v>
      </c>
      <c r="D132" s="1"/>
    </row>
    <row r="133" ht="79.5" customHeight="1">
      <c r="A133" s="1"/>
      <c r="B133" s="16" t="s">
        <v>15</v>
      </c>
      <c r="C133" s="17" t="str">
        <f>IF(C131="","回答を選択すると解説が表示されます","正解はAです。
192.168.1.100/24と192.168.1.254/24はどちらも192.168.1.0のネットワークに属しています。
/24はサブネットマスク255.255.255.0で、第4オクテットのみがホスト部です。")</f>
        <v>回答を選択すると解説が表示されます</v>
      </c>
      <c r="D133" s="1"/>
    </row>
    <row r="134" ht="15.75" customHeight="1">
      <c r="A134" s="1"/>
      <c r="B134" s="1"/>
      <c r="C134" s="1"/>
      <c r="D134" s="1"/>
    </row>
    <row r="135" ht="27.75" customHeight="1">
      <c r="A135" s="1"/>
      <c r="B135" s="8" t="s">
        <v>93</v>
      </c>
      <c r="C135" s="7"/>
      <c r="D135" s="1"/>
    </row>
    <row r="136" ht="57.75" customHeight="1">
      <c r="A136" s="1"/>
      <c r="B136" s="9" t="s">
        <v>496</v>
      </c>
      <c r="C136" s="7"/>
      <c r="D136" s="1"/>
    </row>
    <row r="137" ht="33.75" customHeight="1">
      <c r="A137" s="1"/>
      <c r="B137" s="10" t="s">
        <v>5</v>
      </c>
      <c r="C137" s="11" t="s">
        <v>53</v>
      </c>
      <c r="D137" s="1"/>
    </row>
    <row r="138" ht="33.75" customHeight="1">
      <c r="A138" s="1"/>
      <c r="B138" s="10" t="s">
        <v>7</v>
      </c>
      <c r="C138" s="11" t="s">
        <v>497</v>
      </c>
      <c r="D138" s="1"/>
    </row>
    <row r="139" ht="33.75" customHeight="1">
      <c r="A139" s="1"/>
      <c r="B139" s="10" t="s">
        <v>9</v>
      </c>
      <c r="C139" s="11" t="s">
        <v>498</v>
      </c>
      <c r="D139" s="1"/>
    </row>
    <row r="140" ht="33.75" customHeight="1">
      <c r="A140" s="1"/>
      <c r="B140" s="10" t="s">
        <v>11</v>
      </c>
      <c r="C140" s="11" t="s">
        <v>51</v>
      </c>
      <c r="D140" s="1"/>
    </row>
    <row r="141" ht="42.0" customHeight="1">
      <c r="A141" s="1"/>
      <c r="B141" s="12" t="s">
        <v>13</v>
      </c>
      <c r="C141" s="13"/>
      <c r="D141" s="1"/>
    </row>
    <row r="142" ht="39.75" customHeight="1">
      <c r="A142" s="1"/>
      <c r="B142" s="14" t="s">
        <v>14</v>
      </c>
      <c r="C142" s="15" t="str">
        <f>IF(C141="","← A〜D を選択してください",IF(C141="A","✅ 正解！ 素晴らしいです！","❌ 不正解... 正解は A です！"))</f>
        <v>← A〜D を選択してください</v>
      </c>
      <c r="D142" s="1"/>
    </row>
    <row r="143" ht="79.5" customHeight="1">
      <c r="A143" s="1"/>
      <c r="B143" s="16" t="s">
        <v>15</v>
      </c>
      <c r="C143" s="17" t="str">
        <f>IF(C141="","回答を選択すると解説が表示されます","正解はAです。
Gigabit Ethernet（1000BASE-T）のツイストペアケーブルにはRJ-45コネクター（8ピン）が使用されます。
LCは光ファイバー用、DB-9はシリアルポート用、RJ-11は電話線用です。")</f>
        <v>回答を選択すると解説が表示されます</v>
      </c>
      <c r="D143" s="1"/>
    </row>
    <row r="144" ht="15.75" customHeight="1">
      <c r="A144" s="1"/>
      <c r="B144" s="1"/>
      <c r="C144" s="1"/>
      <c r="D144" s="1"/>
    </row>
    <row r="145" ht="27.75" customHeight="1">
      <c r="A145" s="1"/>
      <c r="B145" s="8" t="s">
        <v>94</v>
      </c>
      <c r="C145" s="7"/>
      <c r="D145" s="1"/>
    </row>
    <row r="146" ht="57.75" customHeight="1">
      <c r="A146" s="1"/>
      <c r="B146" s="9" t="s">
        <v>499</v>
      </c>
      <c r="C146" s="7"/>
      <c r="D146" s="1"/>
    </row>
    <row r="147" ht="33.75" customHeight="1">
      <c r="A147" s="1"/>
      <c r="B147" s="10" t="s">
        <v>5</v>
      </c>
      <c r="C147" s="11" t="s">
        <v>500</v>
      </c>
      <c r="D147" s="1"/>
    </row>
    <row r="148" ht="33.75" customHeight="1">
      <c r="A148" s="1"/>
      <c r="B148" s="10" t="s">
        <v>7</v>
      </c>
      <c r="C148" s="11" t="s">
        <v>203</v>
      </c>
      <c r="D148" s="1"/>
    </row>
    <row r="149" ht="33.75" customHeight="1">
      <c r="A149" s="1"/>
      <c r="B149" s="10" t="s">
        <v>9</v>
      </c>
      <c r="C149" s="11" t="s">
        <v>501</v>
      </c>
      <c r="D149" s="1"/>
    </row>
    <row r="150" ht="33.75" customHeight="1">
      <c r="A150" s="1"/>
      <c r="B150" s="10" t="s">
        <v>11</v>
      </c>
      <c r="C150" s="11" t="s">
        <v>502</v>
      </c>
      <c r="D150" s="1"/>
    </row>
    <row r="151" ht="42.0" customHeight="1">
      <c r="A151" s="1"/>
      <c r="B151" s="12" t="s">
        <v>13</v>
      </c>
      <c r="C151" s="13"/>
      <c r="D151" s="1"/>
    </row>
    <row r="152" ht="39.75" customHeight="1">
      <c r="A152" s="1"/>
      <c r="B152" s="14" t="s">
        <v>14</v>
      </c>
      <c r="C152" s="15" t="str">
        <f>IF(C151="","← A〜D を選択してください",IF(C151="B","✅ 正解！ 素晴らしいです！","❌ 不正解... 正解は B です！"))</f>
        <v>← A〜D を選択してください</v>
      </c>
      <c r="D152" s="1"/>
    </row>
    <row r="153" ht="99.75" customHeight="1">
      <c r="A153" s="1"/>
      <c r="B153" s="16" t="s">
        <v>15</v>
      </c>
      <c r="C153" s="17" t="str">
        <f>IF(C151="","回答を選択すると解説が表示されます","正解はBです。
show running-configは現在RAMで動作中の設定を表示するコマンドです。
show startup-configはNVRAMに保存された次回起動時の設定を表示します。
変更した設定を保存するには copy running-config startup-config を実行します。")</f>
        <v>回答を選択すると解説が表示されます</v>
      </c>
      <c r="D153" s="1"/>
    </row>
    <row r="154" ht="15.75" customHeight="1">
      <c r="A154" s="1"/>
      <c r="B154" s="1"/>
      <c r="C154" s="1"/>
      <c r="D154" s="1"/>
    </row>
    <row r="155" ht="27.75" customHeight="1">
      <c r="A155" s="1"/>
      <c r="B155" s="8" t="s">
        <v>95</v>
      </c>
      <c r="C155" s="7"/>
      <c r="D155" s="1"/>
    </row>
    <row r="156" ht="57.75" customHeight="1">
      <c r="A156" s="1"/>
      <c r="B156" s="9" t="s">
        <v>503</v>
      </c>
      <c r="C156" s="7"/>
      <c r="D156" s="1"/>
    </row>
    <row r="157" ht="33.75" customHeight="1">
      <c r="A157" s="1"/>
      <c r="B157" s="10" t="s">
        <v>5</v>
      </c>
      <c r="C157" s="11" t="s">
        <v>200</v>
      </c>
      <c r="D157" s="1"/>
    </row>
    <row r="158" ht="33.75" customHeight="1">
      <c r="A158" s="1"/>
      <c r="B158" s="10" t="s">
        <v>7</v>
      </c>
      <c r="C158" s="11" t="s">
        <v>415</v>
      </c>
      <c r="D158" s="1"/>
    </row>
    <row r="159" ht="33.75" customHeight="1">
      <c r="A159" s="1"/>
      <c r="B159" s="10" t="s">
        <v>9</v>
      </c>
      <c r="C159" s="11" t="s">
        <v>414</v>
      </c>
      <c r="D159" s="1"/>
    </row>
    <row r="160" ht="33.75" customHeight="1">
      <c r="A160" s="1"/>
      <c r="B160" s="10" t="s">
        <v>11</v>
      </c>
      <c r="C160" s="11" t="s">
        <v>413</v>
      </c>
      <c r="D160" s="1"/>
    </row>
    <row r="161" ht="42.0" customHeight="1">
      <c r="A161" s="1"/>
      <c r="B161" s="12" t="s">
        <v>13</v>
      </c>
      <c r="C161" s="13"/>
      <c r="D161" s="1"/>
    </row>
    <row r="162" ht="39.75" customHeight="1">
      <c r="A162" s="1"/>
      <c r="B162" s="14" t="s">
        <v>14</v>
      </c>
      <c r="C162" s="15" t="str">
        <f>IF(C161="","← A〜D を選択してください",IF(C161="B","✅ 正解！ 素晴らしいです！","❌ 不正解... 正解は B です！"))</f>
        <v>← A〜D を選択してください</v>
      </c>
      <c r="D162" s="1"/>
    </row>
    <row r="163" ht="79.5" customHeight="1">
      <c r="A163" s="1"/>
      <c r="B163" s="16" t="s">
        <v>15</v>
      </c>
      <c r="C163" s="17" t="str">
        <f>IF(C161="","回答を選択すると解説が表示されます","正解はBです。
show ip interface briefはすべてのインターフェースのIPアドレス・状態（up/down）・プロトコル状態を一覧で表示します。
最も頻繁に使用される確認コマンドの一つです。")</f>
        <v>回答を選択すると解説が表示されます</v>
      </c>
      <c r="D163" s="1"/>
    </row>
    <row r="164" ht="15.75" customHeight="1">
      <c r="A164" s="1"/>
      <c r="B164" s="1"/>
      <c r="C164" s="1"/>
      <c r="D164" s="1"/>
    </row>
    <row r="165" ht="27.75" customHeight="1">
      <c r="A165" s="1"/>
      <c r="B165" s="8" t="s">
        <v>101</v>
      </c>
      <c r="C165" s="7"/>
      <c r="D165" s="1"/>
    </row>
    <row r="166" ht="57.75" customHeight="1">
      <c r="A166" s="1"/>
      <c r="B166" s="9" t="s">
        <v>504</v>
      </c>
      <c r="C166" s="7"/>
      <c r="D166" s="1"/>
    </row>
    <row r="167" ht="33.75" customHeight="1">
      <c r="A167" s="1"/>
      <c r="B167" s="10" t="s">
        <v>5</v>
      </c>
      <c r="C167" s="11" t="s">
        <v>501</v>
      </c>
      <c r="D167" s="1"/>
    </row>
    <row r="168" ht="33.75" customHeight="1">
      <c r="A168" s="1"/>
      <c r="B168" s="10" t="s">
        <v>7</v>
      </c>
      <c r="C168" s="11" t="s">
        <v>21</v>
      </c>
      <c r="D168" s="1"/>
    </row>
    <row r="169" ht="33.75" customHeight="1">
      <c r="A169" s="1"/>
      <c r="B169" s="10" t="s">
        <v>9</v>
      </c>
      <c r="C169" s="11" t="s">
        <v>203</v>
      </c>
      <c r="D169" s="1"/>
    </row>
    <row r="170" ht="33.75" customHeight="1">
      <c r="A170" s="1"/>
      <c r="B170" s="10" t="s">
        <v>11</v>
      </c>
      <c r="C170" s="11" t="s">
        <v>415</v>
      </c>
      <c r="D170" s="1"/>
    </row>
    <row r="171" ht="42.0" customHeight="1">
      <c r="A171" s="1"/>
      <c r="B171" s="12" t="s">
        <v>13</v>
      </c>
      <c r="C171" s="13"/>
      <c r="D171" s="1"/>
    </row>
    <row r="172" ht="39.75" customHeight="1">
      <c r="A172" s="1"/>
      <c r="B172" s="14" t="s">
        <v>14</v>
      </c>
      <c r="C172" s="15" t="str">
        <f>IF(C171="","← A〜D を選択してください",IF(C171="B","✅ 正解！ 素晴らしいです！","❌ 不正解... 正解は B です！"))</f>
        <v>← A〜D を選択してください</v>
      </c>
      <c r="D172" s="1"/>
    </row>
    <row r="173" ht="79.5" customHeight="1">
      <c r="A173" s="1"/>
      <c r="B173" s="16" t="s">
        <v>15</v>
      </c>
      <c r="C173" s="17" t="str">
        <f>IF(C171="","回答を選択すると解説が表示されます","正解はBです。
show inventoryはCiscoデバイスのハードウェアインベントリ（モジュール・SFP・シャーシ等のシリアル番号・PID）を表示します。
show versionはOS・メモリ・稼働時間・ライセンスなどを表示します。")</f>
        <v>回答を選択すると解説が表示されます</v>
      </c>
      <c r="D173" s="1"/>
    </row>
    <row r="174" ht="15.75" customHeight="1">
      <c r="A174" s="1"/>
      <c r="B174" s="1"/>
      <c r="C174" s="1"/>
      <c r="D174" s="1"/>
    </row>
    <row r="175" ht="27.75" customHeight="1">
      <c r="A175" s="1"/>
      <c r="B175" s="8" t="s">
        <v>107</v>
      </c>
      <c r="C175" s="7"/>
      <c r="D175" s="1"/>
    </row>
    <row r="176" ht="57.75" customHeight="1">
      <c r="A176" s="1"/>
      <c r="B176" s="20" t="s">
        <v>505</v>
      </c>
      <c r="C176" s="7"/>
      <c r="D176" s="1"/>
    </row>
    <row r="177" ht="33.75" customHeight="1">
      <c r="A177" s="1"/>
      <c r="B177" s="10" t="s">
        <v>5</v>
      </c>
      <c r="C177" s="11" t="s">
        <v>506</v>
      </c>
      <c r="D177" s="1"/>
    </row>
    <row r="178" ht="33.75" customHeight="1">
      <c r="A178" s="1"/>
      <c r="B178" s="10" t="s">
        <v>7</v>
      </c>
      <c r="C178" s="21" t="s">
        <v>507</v>
      </c>
      <c r="D178" s="1"/>
    </row>
    <row r="179" ht="33.75" customHeight="1">
      <c r="A179" s="1"/>
      <c r="B179" s="10" t="s">
        <v>9</v>
      </c>
      <c r="C179" s="11" t="s">
        <v>508</v>
      </c>
      <c r="D179" s="1"/>
    </row>
    <row r="180" ht="33.75" customHeight="1">
      <c r="A180" s="1"/>
      <c r="B180" s="10" t="s">
        <v>11</v>
      </c>
      <c r="C180" s="11" t="s">
        <v>509</v>
      </c>
      <c r="D180" s="1"/>
    </row>
    <row r="181" ht="42.0" customHeight="1">
      <c r="A181" s="1"/>
      <c r="B181" s="12" t="s">
        <v>13</v>
      </c>
      <c r="C181" s="13"/>
      <c r="D181" s="1"/>
    </row>
    <row r="182" ht="39.75" customHeight="1">
      <c r="A182" s="1"/>
      <c r="B182" s="14" t="s">
        <v>14</v>
      </c>
      <c r="C182" s="15" t="str">
        <f>IF(C181="","← A〜D を選択してください",IF(C181="C","✅ 正解！ 素晴らしいです！","❌ 不正解... 正解は C です！"))</f>
        <v>← A〜D を選択してください</v>
      </c>
      <c r="D182" s="1"/>
    </row>
    <row r="183" ht="79.5" customHeight="1">
      <c r="A183" s="1"/>
      <c r="B183" s="16" t="s">
        <v>15</v>
      </c>
      <c r="C183" s="17" t="str">
        <f>IF(C181="","回答を選択すると解説が表示されます","正解はCです。
SSHはすべての通信を暗号化するため、最も安全なリモートアクセス方法です。
Telnetは通信が平文で送受信されるため非推奨です。コンソール接続は物理的な接続が必要です。")</f>
        <v>回答を選択すると解説が表示されます</v>
      </c>
      <c r="D183" s="1"/>
    </row>
    <row r="184" ht="15.75" customHeight="1">
      <c r="A184" s="1"/>
      <c r="B184" s="1"/>
      <c r="C184" s="1"/>
      <c r="D184" s="1"/>
    </row>
    <row r="185" ht="27.75" customHeight="1">
      <c r="A185" s="1"/>
      <c r="B185" s="8" t="s">
        <v>109</v>
      </c>
      <c r="C185" s="7"/>
      <c r="D185" s="1"/>
    </row>
    <row r="186" ht="57.75" customHeight="1">
      <c r="A186" s="1"/>
      <c r="B186" s="20" t="s">
        <v>510</v>
      </c>
      <c r="C186" s="7"/>
      <c r="D186" s="1"/>
    </row>
    <row r="187" ht="33.75" customHeight="1">
      <c r="A187" s="1"/>
      <c r="B187" s="10" t="s">
        <v>5</v>
      </c>
      <c r="C187" s="11" t="s">
        <v>511</v>
      </c>
      <c r="D187" s="1"/>
    </row>
    <row r="188" ht="33.75" customHeight="1">
      <c r="A188" s="1"/>
      <c r="B188" s="10" t="s">
        <v>7</v>
      </c>
      <c r="C188" s="11" t="s">
        <v>512</v>
      </c>
      <c r="D188" s="1"/>
    </row>
    <row r="189" ht="33.75" customHeight="1">
      <c r="A189" s="1"/>
      <c r="B189" s="10" t="s">
        <v>9</v>
      </c>
      <c r="C189" s="11" t="s">
        <v>478</v>
      </c>
      <c r="D189" s="1"/>
    </row>
    <row r="190" ht="33.75" customHeight="1">
      <c r="A190" s="1"/>
      <c r="B190" s="10" t="s">
        <v>11</v>
      </c>
      <c r="C190" s="11" t="s">
        <v>73</v>
      </c>
      <c r="D190" s="1"/>
    </row>
    <row r="191" ht="42.0" customHeight="1">
      <c r="A191" s="1"/>
      <c r="B191" s="12" t="s">
        <v>13</v>
      </c>
      <c r="C191" s="13"/>
      <c r="D191" s="1"/>
    </row>
    <row r="192" ht="39.75" customHeight="1">
      <c r="A192" s="1"/>
      <c r="B192" s="14" t="s">
        <v>14</v>
      </c>
      <c r="C192" s="15" t="str">
        <f>IF(C191="","← A〜D を選択してください",IF(C191="B","✅ 正解！ 素晴らしいです！","❌ 不正解... 正解は B です！"))</f>
        <v>← A〜D を選択してください</v>
      </c>
      <c r="D192" s="1"/>
    </row>
    <row r="193" ht="79.5" customHeight="1">
      <c r="A193" s="1"/>
      <c r="B193" s="16" t="s">
        <v>15</v>
      </c>
      <c r="C193" s="17" t="str">
        <f>IF(C191="","回答を選択すると解説が表示されます","正解はBです。
PuTTYはSSH・Telnet・シリアル接続に対応した代表的なターミナルエミュレーターです。
Wiresharkはパケットキャプチャ、iPerfはスループット測定、nslookupはDNS確認ツールです。")</f>
        <v>回答を選択すると解説が表示されます</v>
      </c>
      <c r="D193" s="1"/>
    </row>
    <row r="194" ht="15.75" customHeight="1">
      <c r="A194" s="1"/>
      <c r="B194" s="1"/>
      <c r="C194" s="1"/>
      <c r="D194" s="1"/>
    </row>
    <row r="195" ht="27.75" customHeight="1">
      <c r="A195" s="1"/>
      <c r="B195" s="8" t="s">
        <v>115</v>
      </c>
      <c r="C195" s="7"/>
      <c r="D195" s="1"/>
    </row>
    <row r="196" ht="57.75" customHeight="1">
      <c r="A196" s="1"/>
      <c r="B196" s="9" t="s">
        <v>513</v>
      </c>
      <c r="C196" s="7"/>
      <c r="D196" s="1"/>
    </row>
    <row r="197" ht="33.75" customHeight="1">
      <c r="A197" s="1"/>
      <c r="B197" s="10" t="s">
        <v>5</v>
      </c>
      <c r="C197" s="21" t="s">
        <v>514</v>
      </c>
      <c r="D197" s="1"/>
    </row>
    <row r="198" ht="33.75" customHeight="1">
      <c r="A198" s="1"/>
      <c r="B198" s="10" t="s">
        <v>7</v>
      </c>
      <c r="C198" s="11" t="s">
        <v>515</v>
      </c>
      <c r="D198" s="1"/>
    </row>
    <row r="199" ht="33.75" customHeight="1">
      <c r="A199" s="1"/>
      <c r="B199" s="10" t="s">
        <v>9</v>
      </c>
      <c r="C199" s="21" t="s">
        <v>516</v>
      </c>
      <c r="D199" s="1"/>
    </row>
    <row r="200" ht="33.75" customHeight="1">
      <c r="A200" s="1"/>
      <c r="B200" s="10" t="s">
        <v>11</v>
      </c>
      <c r="C200" s="21" t="s">
        <v>517</v>
      </c>
      <c r="D200" s="1"/>
    </row>
    <row r="201" ht="42.0" customHeight="1">
      <c r="A201" s="1"/>
      <c r="B201" s="12" t="s">
        <v>13</v>
      </c>
      <c r="C201" s="13"/>
      <c r="D201" s="1"/>
    </row>
    <row r="202" ht="39.75" customHeight="1">
      <c r="A202" s="1"/>
      <c r="B202" s="14" t="s">
        <v>14</v>
      </c>
      <c r="C202" s="15" t="str">
        <f>IF(C201="","← A〜D を選択してください",IF(C201="B","✅ 正解！ 素晴らしいです！","❌ 不正解... 正解は B です！"))</f>
        <v>← A〜D を選択してください</v>
      </c>
      <c r="D202" s="1"/>
    </row>
    <row r="203" ht="79.5" customHeight="1">
      <c r="A203" s="1"/>
      <c r="B203" s="16" t="s">
        <v>15</v>
      </c>
      <c r="C203" s="17" t="str">
        <f>IF(C201="","回答を選択すると解説が表示されます","正解はBです。
Cisco Merakiはクラウド管理型のネットワーク製品で、Webダッシュボードから場所を問わずルーター・スイッチ・Wi-Fiアクセスポイントを一元管理できます。
CLIやコンソールケーブルなしで設定変更が可能です。")</f>
        <v>回答を選択すると解説が表示されます</v>
      </c>
      <c r="D203" s="1"/>
    </row>
    <row r="204" ht="15.75" customHeight="1">
      <c r="A204" s="1"/>
      <c r="B204" s="1"/>
      <c r="C204" s="1"/>
      <c r="D204" s="1"/>
    </row>
    <row r="205" ht="27.75" customHeight="1">
      <c r="A205" s="1"/>
      <c r="B205" s="8" t="s">
        <v>122</v>
      </c>
      <c r="C205" s="7"/>
      <c r="D205" s="1"/>
    </row>
    <row r="206" ht="57.75" customHeight="1">
      <c r="A206" s="1"/>
      <c r="B206" s="20" t="s">
        <v>518</v>
      </c>
      <c r="C206" s="7"/>
      <c r="D206" s="1"/>
    </row>
    <row r="207" ht="33.75" customHeight="1">
      <c r="A207" s="1"/>
      <c r="B207" s="10" t="s">
        <v>5</v>
      </c>
      <c r="C207" s="21" t="s">
        <v>519</v>
      </c>
      <c r="D207" s="1"/>
    </row>
    <row r="208" ht="33.75" customHeight="1">
      <c r="A208" s="1"/>
      <c r="B208" s="10" t="s">
        <v>7</v>
      </c>
      <c r="C208" s="21" t="s">
        <v>520</v>
      </c>
      <c r="D208" s="1"/>
    </row>
    <row r="209" ht="33.75" customHeight="1">
      <c r="A209" s="1"/>
      <c r="B209" s="10" t="s">
        <v>9</v>
      </c>
      <c r="C209" s="21" t="s">
        <v>521</v>
      </c>
      <c r="D209" s="1"/>
    </row>
    <row r="210" ht="33.75" customHeight="1">
      <c r="A210" s="1"/>
      <c r="B210" s="10" t="s">
        <v>11</v>
      </c>
      <c r="C210" s="11" t="s">
        <v>522</v>
      </c>
      <c r="D210" s="1"/>
    </row>
    <row r="211" ht="42.0" customHeight="1">
      <c r="A211" s="1"/>
      <c r="B211" s="12" t="s">
        <v>13</v>
      </c>
      <c r="C211" s="13"/>
      <c r="D211" s="1"/>
    </row>
    <row r="212" ht="39.75" customHeight="1">
      <c r="A212" s="1"/>
      <c r="B212" s="14" t="s">
        <v>14</v>
      </c>
      <c r="C212" s="15" t="str">
        <f>IF(C211="","← A〜D を選択してください",IF(C211="B","✅ 正解！ 素晴らしいです！","❌ 不正解... 正解は B です！"))</f>
        <v>← A〜D を選択してください</v>
      </c>
      <c r="D212" s="1"/>
    </row>
    <row r="213" ht="79.5" customHeight="1">
      <c r="A213" s="1"/>
      <c r="B213" s="16" t="s">
        <v>15</v>
      </c>
      <c r="C213" s="17" t="str">
        <f>IF(C211="","回答を選択すると解説が表示されます","正解はBです。
PoE（Power over Ethernet）ポートはイーサネットケーブルを通じてデータと電力を同時に供給します。
IPカメラ・VoIP電話・Wi-FiアクセスポイントなどのPoE対応機器を電源アダプターなしで動作させられます。")</f>
        <v>回答を選択すると解説が表示されます</v>
      </c>
      <c r="D213" s="1"/>
    </row>
    <row r="214" ht="15.75" customHeight="1">
      <c r="A214" s="1"/>
      <c r="B214" s="1"/>
      <c r="C214" s="1"/>
      <c r="D214" s="1"/>
    </row>
    <row r="215" ht="27.75" customHeight="1">
      <c r="A215" s="1"/>
      <c r="B215" s="8" t="s">
        <v>128</v>
      </c>
      <c r="C215" s="7"/>
      <c r="D215" s="1"/>
    </row>
    <row r="216" ht="57.75" customHeight="1">
      <c r="A216" s="1"/>
      <c r="B216" s="9" t="s">
        <v>523</v>
      </c>
      <c r="C216" s="7"/>
      <c r="D216" s="1"/>
    </row>
    <row r="217" ht="33.75" customHeight="1">
      <c r="A217" s="1"/>
      <c r="B217" s="10" t="s">
        <v>5</v>
      </c>
      <c r="C217" s="11" t="s">
        <v>524</v>
      </c>
      <c r="D217" s="1"/>
    </row>
    <row r="218" ht="33.75" customHeight="1">
      <c r="A218" s="1"/>
      <c r="B218" s="10" t="s">
        <v>7</v>
      </c>
      <c r="C218" s="21" t="s">
        <v>525</v>
      </c>
      <c r="D218" s="1"/>
    </row>
    <row r="219" ht="33.75" customHeight="1">
      <c r="A219" s="1"/>
      <c r="B219" s="10" t="s">
        <v>9</v>
      </c>
      <c r="C219" s="21" t="s">
        <v>526</v>
      </c>
      <c r="D219" s="1"/>
    </row>
    <row r="220" ht="33.75" customHeight="1">
      <c r="A220" s="1"/>
      <c r="B220" s="10" t="s">
        <v>11</v>
      </c>
      <c r="C220" s="11" t="s">
        <v>527</v>
      </c>
      <c r="D220" s="1"/>
    </row>
    <row r="221" ht="42.0" customHeight="1">
      <c r="A221" s="1"/>
      <c r="B221" s="12" t="s">
        <v>13</v>
      </c>
      <c r="C221" s="13"/>
      <c r="D221" s="1"/>
    </row>
    <row r="222" ht="39.75" customHeight="1">
      <c r="A222" s="1"/>
      <c r="B222" s="14" t="s">
        <v>14</v>
      </c>
      <c r="C222" s="15" t="str">
        <f>IF(C221="","← A〜D を選択してください",IF(C221="B","✅ 正解！ 素晴らしいです！","❌ 不正解... 正解は B です！"))</f>
        <v>← A〜D を選択してください</v>
      </c>
      <c r="D222" s="1"/>
    </row>
    <row r="223" ht="79.5" customHeight="1">
      <c r="A223" s="1"/>
      <c r="B223" s="16" t="s">
        <v>15</v>
      </c>
      <c r="C223" s="17" t="str">
        <f>IF(C221="","回答を選択すると解説が表示されます","正解はBです。
SFPはスイッチやルーターに差し込むホットスワップ可能なトランシーバーモジュールです。
銅線用・シングルモードファイバー用・マルチモードファイバー用など、接続メディアに応じて交換できます。")</f>
        <v>回答を選択すると解説が表示されます</v>
      </c>
      <c r="D223" s="1"/>
    </row>
    <row r="224" ht="15.75" customHeight="1">
      <c r="A224" s="1"/>
      <c r="B224" s="1"/>
      <c r="C224" s="1"/>
      <c r="D224" s="1"/>
    </row>
    <row r="225" ht="27.75" customHeight="1">
      <c r="A225" s="1"/>
      <c r="B225" s="8" t="s">
        <v>134</v>
      </c>
      <c r="C225" s="7"/>
      <c r="D225" s="1"/>
    </row>
    <row r="226" ht="57.75" customHeight="1">
      <c r="A226" s="1"/>
      <c r="B226" s="9" t="s">
        <v>528</v>
      </c>
      <c r="C226" s="7"/>
      <c r="D226" s="1"/>
    </row>
    <row r="227" ht="33.75" customHeight="1">
      <c r="A227" s="1"/>
      <c r="B227" s="10" t="s">
        <v>5</v>
      </c>
      <c r="C227" s="21" t="s">
        <v>529</v>
      </c>
      <c r="D227" s="1"/>
    </row>
    <row r="228" ht="33.75" customHeight="1">
      <c r="A228" s="1"/>
      <c r="B228" s="10" t="s">
        <v>7</v>
      </c>
      <c r="C228" s="21" t="s">
        <v>530</v>
      </c>
      <c r="D228" s="1"/>
    </row>
    <row r="229" ht="33.75" customHeight="1">
      <c r="A229" s="1"/>
      <c r="B229" s="10" t="s">
        <v>9</v>
      </c>
      <c r="C229" s="11" t="s">
        <v>531</v>
      </c>
      <c r="D229" s="1"/>
    </row>
    <row r="230" ht="33.75" customHeight="1">
      <c r="A230" s="1"/>
      <c r="B230" s="10" t="s">
        <v>11</v>
      </c>
      <c r="C230" s="21" t="s">
        <v>532</v>
      </c>
      <c r="D230" s="1"/>
    </row>
    <row r="231" ht="42.0" customHeight="1">
      <c r="A231" s="1"/>
      <c r="B231" s="12" t="s">
        <v>13</v>
      </c>
      <c r="C231" s="13"/>
      <c r="D231" s="1"/>
    </row>
    <row r="232" ht="39.75" customHeight="1">
      <c r="A232" s="1"/>
      <c r="B232" s="14" t="s">
        <v>14</v>
      </c>
      <c r="C232" s="15" t="str">
        <f>IF(C231="","← A〜D を選択してください",IF(C231="B","✅ 正解！ 素晴らしいです！","❌ 不正解... 正解は B です！"))</f>
        <v>← A〜D を選択してください</v>
      </c>
      <c r="D232" s="1"/>
    </row>
    <row r="233" ht="139.5" customHeight="1">
      <c r="A233" s="1"/>
      <c r="B233" s="16" t="s">
        <v>15</v>
      </c>
      <c r="C233" s="17" t="str">
        <f>IF(C231="","回答を選択すると解説が表示されます","正解はBです。
Ciscoデバイスのステータスランプの一般的な意味は以下の通りです。
・緑色に点灯：正常動作
・橙色/黄色に点灯：警告または起動中
・赤色に点灯：エラー
現場での障害切り分けに重要な確認ポイントです。")</f>
        <v>回答を選択すると解説が表示されます</v>
      </c>
      <c r="D233" s="1"/>
    </row>
    <row r="234" ht="15.75" customHeight="1">
      <c r="A234" s="1"/>
      <c r="B234" s="1"/>
      <c r="C234" s="1"/>
      <c r="D234" s="1"/>
    </row>
    <row r="235" ht="27.75" customHeight="1">
      <c r="A235" s="1"/>
      <c r="B235" s="8" t="s">
        <v>141</v>
      </c>
      <c r="C235" s="7"/>
      <c r="D235" s="1"/>
    </row>
    <row r="236" ht="57.75" customHeight="1">
      <c r="A236" s="1"/>
      <c r="B236" s="9" t="s">
        <v>533</v>
      </c>
      <c r="C236" s="7"/>
      <c r="D236" s="1"/>
    </row>
    <row r="237" ht="33.75" customHeight="1">
      <c r="A237" s="1"/>
      <c r="B237" s="10" t="s">
        <v>5</v>
      </c>
      <c r="C237" s="11" t="s">
        <v>534</v>
      </c>
      <c r="D237" s="1"/>
    </row>
    <row r="238" ht="33.75" customHeight="1">
      <c r="A238" s="1"/>
      <c r="B238" s="10" t="s">
        <v>7</v>
      </c>
      <c r="C238" s="11" t="s">
        <v>535</v>
      </c>
      <c r="D238" s="1"/>
    </row>
    <row r="239" ht="33.75" customHeight="1">
      <c r="A239" s="1"/>
      <c r="B239" s="10" t="s">
        <v>9</v>
      </c>
      <c r="C239" s="11" t="s">
        <v>536</v>
      </c>
      <c r="D239" s="1"/>
    </row>
    <row r="240" ht="33.75" customHeight="1">
      <c r="A240" s="1"/>
      <c r="B240" s="10" t="s">
        <v>11</v>
      </c>
      <c r="C240" s="11" t="s">
        <v>537</v>
      </c>
      <c r="D240" s="1"/>
    </row>
    <row r="241" ht="42.0" customHeight="1">
      <c r="A241" s="1"/>
      <c r="B241" s="12" t="s">
        <v>13</v>
      </c>
      <c r="C241" s="13"/>
      <c r="D241" s="1"/>
    </row>
    <row r="242" ht="39.75" customHeight="1">
      <c r="A242" s="1"/>
      <c r="B242" s="14" t="s">
        <v>14</v>
      </c>
      <c r="C242" s="15" t="str">
        <f>IF(C241="","← A〜D を選択してください",IF(C241="B","✅ 正解！ 素晴らしいです！","❌ 不正解... 正解は B です！"))</f>
        <v>← A〜D を選択してください</v>
      </c>
      <c r="D242" s="1"/>
    </row>
    <row r="243" ht="79.5" customHeight="1">
      <c r="A243" s="1"/>
      <c r="B243" s="16" t="s">
        <v>15</v>
      </c>
      <c r="C243" s="17" t="str">
        <f>IF(C241="","回答を選択すると解説が表示されます","正解はBです。
192.168.200.0/24はサブネットマスク255.255.255.0で、192.168.200.0〜192.168.200.255の範囲です。
192.168.200.13はこの範囲内に含まれます。")</f>
        <v>回答を選択すると解説が表示されます</v>
      </c>
      <c r="D243" s="1"/>
    </row>
    <row r="244" ht="15.75" customHeight="1">
      <c r="A244" s="1"/>
      <c r="B244" s="1"/>
      <c r="C244" s="1"/>
      <c r="D244" s="1"/>
    </row>
    <row r="245" ht="27.75" customHeight="1">
      <c r="A245" s="1"/>
      <c r="B245" s="8" t="s">
        <v>147</v>
      </c>
      <c r="C245" s="7"/>
      <c r="D245" s="1"/>
    </row>
    <row r="246" ht="57.75" customHeight="1">
      <c r="A246" s="1"/>
      <c r="B246" s="9" t="s">
        <v>538</v>
      </c>
      <c r="C246" s="7"/>
      <c r="D246" s="1"/>
    </row>
    <row r="247" ht="33.75" customHeight="1">
      <c r="A247" s="1"/>
      <c r="B247" s="10" t="s">
        <v>5</v>
      </c>
      <c r="C247" s="21" t="s">
        <v>539</v>
      </c>
      <c r="D247" s="1"/>
    </row>
    <row r="248" ht="33.75" customHeight="1">
      <c r="A248" s="1"/>
      <c r="B248" s="10" t="s">
        <v>7</v>
      </c>
      <c r="C248" s="11" t="s">
        <v>540</v>
      </c>
      <c r="D248" s="1"/>
    </row>
    <row r="249" ht="33.75" customHeight="1">
      <c r="A249" s="1"/>
      <c r="B249" s="10" t="s">
        <v>9</v>
      </c>
      <c r="C249" s="21" t="s">
        <v>541</v>
      </c>
      <c r="D249" s="1"/>
    </row>
    <row r="250" ht="33.75" customHeight="1">
      <c r="A250" s="1"/>
      <c r="B250" s="10" t="s">
        <v>11</v>
      </c>
      <c r="C250" s="21" t="s">
        <v>542</v>
      </c>
      <c r="D250" s="1"/>
    </row>
    <row r="251" ht="42.0" customHeight="1">
      <c r="A251" s="1"/>
      <c r="B251" s="12" t="s">
        <v>13</v>
      </c>
      <c r="C251" s="13"/>
      <c r="D251" s="1"/>
    </row>
    <row r="252" ht="39.75" customHeight="1">
      <c r="A252" s="1"/>
      <c r="B252" s="14" t="s">
        <v>14</v>
      </c>
      <c r="C252" s="15" t="str">
        <f>IF(C251="","← A〜D を選択してください",IF(C251="B","✅ 正解！ 素晴らしいです！","❌ 不正解... 正解は B です！"))</f>
        <v>← A〜D を選択してください</v>
      </c>
      <c r="D252" s="1"/>
    </row>
    <row r="253" ht="79.5" customHeight="1">
      <c r="A253" s="1"/>
      <c r="B253" s="16" t="s">
        <v>15</v>
      </c>
      <c r="C253" s="17" t="str">
        <f>IF(C251="","回答を選択すると解説が表示されます","正解はBです。
RDP（Remote Desktop Protocol）はWindowsコンピューターにネットワーク経由でグラフィカル（GUI）リモートアクセスするためのプロトコルです。
デフォルトポートはTCP 3389です。CLIアクセスにはSSHが適しています。")</f>
        <v>回答を選択すると解説が表示されます</v>
      </c>
      <c r="D253" s="1"/>
    </row>
    <row r="254" ht="15.75" customHeight="1">
      <c r="A254" s="1"/>
      <c r="B254" s="1"/>
      <c r="C254" s="1"/>
      <c r="D254" s="1"/>
    </row>
    <row r="255" ht="27.75" customHeight="1">
      <c r="A255" s="1"/>
      <c r="B255" s="8" t="s">
        <v>153</v>
      </c>
      <c r="C255" s="7"/>
      <c r="D255" s="1"/>
    </row>
    <row r="256" ht="57.75" customHeight="1">
      <c r="A256" s="1"/>
      <c r="B256" s="9" t="s">
        <v>543</v>
      </c>
      <c r="C256" s="7"/>
      <c r="D256" s="1"/>
    </row>
    <row r="257" ht="33.75" customHeight="1">
      <c r="A257" s="1"/>
      <c r="B257" s="10" t="s">
        <v>5</v>
      </c>
      <c r="C257" s="21" t="s">
        <v>544</v>
      </c>
      <c r="D257" s="1"/>
    </row>
    <row r="258" ht="33.75" customHeight="1">
      <c r="A258" s="1"/>
      <c r="B258" s="10" t="s">
        <v>7</v>
      </c>
      <c r="C258" s="21" t="s">
        <v>545</v>
      </c>
      <c r="D258" s="1"/>
    </row>
    <row r="259" ht="33.75" customHeight="1">
      <c r="A259" s="1"/>
      <c r="B259" s="10" t="s">
        <v>9</v>
      </c>
      <c r="C259" s="11" t="s">
        <v>546</v>
      </c>
      <c r="D259" s="1"/>
    </row>
    <row r="260" ht="33.75" customHeight="1">
      <c r="A260" s="1"/>
      <c r="B260" s="10" t="s">
        <v>11</v>
      </c>
      <c r="C260" s="21" t="s">
        <v>547</v>
      </c>
      <c r="D260" s="1"/>
    </row>
    <row r="261" ht="42.0" customHeight="1">
      <c r="A261" s="1"/>
      <c r="B261" s="12" t="s">
        <v>13</v>
      </c>
      <c r="C261" s="13"/>
      <c r="D261" s="1"/>
    </row>
    <row r="262" ht="39.75" customHeight="1">
      <c r="A262" s="1"/>
      <c r="B262" s="14" t="s">
        <v>14</v>
      </c>
      <c r="C262" s="15" t="str">
        <f>IF(C261="","← A〜D を選択してください",IF(C261="B","✅ 正解！ 素晴らしいです！","❌ 不正解... 正解は B です！"))</f>
        <v>← A〜D を選択してください</v>
      </c>
      <c r="D262" s="1"/>
    </row>
    <row r="263" ht="79.5" customHeight="1">
      <c r="A263" s="1"/>
      <c r="B263" s="16" t="s">
        <v>15</v>
      </c>
      <c r="C263" s="17" t="str">
        <f>IF(C261="","回答を選択すると解説が表示されます","正解はBです。
show ip routeの出力において、「C」はConnected（直接接続）を意味します。
ルーターのインターフェースに割り当てられたIPアドレスのネットワークが自動的にConnectedルートとして登録されます。")</f>
        <v>回答を選択すると解説が表示されます</v>
      </c>
      <c r="D263" s="1"/>
    </row>
    <row r="264" ht="15.75" customHeight="1">
      <c r="A264" s="1"/>
      <c r="B264" s="1"/>
      <c r="C264" s="1"/>
      <c r="D264" s="1"/>
    </row>
    <row r="265" ht="27.75" customHeight="1">
      <c r="A265" s="1"/>
      <c r="B265" s="8" t="s">
        <v>159</v>
      </c>
      <c r="C265" s="7"/>
      <c r="D265" s="1"/>
    </row>
    <row r="266" ht="57.75" customHeight="1">
      <c r="A266" s="1"/>
      <c r="B266" s="9" t="s">
        <v>548</v>
      </c>
      <c r="C266" s="7"/>
      <c r="D266" s="1"/>
    </row>
    <row r="267" ht="33.75" customHeight="1">
      <c r="A267" s="1"/>
      <c r="B267" s="10" t="s">
        <v>5</v>
      </c>
      <c r="C267" s="21" t="s">
        <v>549</v>
      </c>
      <c r="D267" s="1"/>
    </row>
    <row r="268" ht="33.75" customHeight="1">
      <c r="A268" s="1"/>
      <c r="B268" s="10" t="s">
        <v>7</v>
      </c>
      <c r="C268" s="11" t="s">
        <v>550</v>
      </c>
      <c r="D268" s="1"/>
    </row>
    <row r="269" ht="33.75" customHeight="1">
      <c r="A269" s="1"/>
      <c r="B269" s="10" t="s">
        <v>9</v>
      </c>
      <c r="C269" s="21" t="s">
        <v>551</v>
      </c>
      <c r="D269" s="1"/>
    </row>
    <row r="270" ht="33.75" customHeight="1">
      <c r="A270" s="1"/>
      <c r="B270" s="10" t="s">
        <v>11</v>
      </c>
      <c r="C270" s="11" t="s">
        <v>552</v>
      </c>
      <c r="D270" s="1"/>
    </row>
    <row r="271" ht="42.0" customHeight="1">
      <c r="A271" s="1"/>
      <c r="B271" s="12" t="s">
        <v>13</v>
      </c>
      <c r="C271" s="13"/>
      <c r="D271" s="1"/>
    </row>
    <row r="272" ht="39.75" customHeight="1">
      <c r="A272" s="1"/>
      <c r="B272" s="14" t="s">
        <v>14</v>
      </c>
      <c r="C272" s="15" t="str">
        <f>IF(C271="","← A〜D を選択してください",IF(C271="B","✅ 正解！ 素晴らしいです！","❌ 不正解... 正解は B です！"))</f>
        <v>← A〜D を選択してください</v>
      </c>
      <c r="D272" s="1"/>
    </row>
    <row r="273" ht="79.5" customHeight="1">
      <c r="A273" s="1"/>
      <c r="B273" s="16" t="s">
        <v>15</v>
      </c>
      <c r="C273" s="17" t="str">
        <f>IF(C271="","回答を選択すると解説が表示されます","正解はBです。
show mac address-tableはスイッチが学習したMACアドレスとそれが接続されているポート、VLANの対応関係を表示します。
接続機器の物理的な接続ポートを特定するときに有用です。")</f>
        <v>回答を選択すると解説が表示されます</v>
      </c>
      <c r="D273" s="1"/>
    </row>
    <row r="274" ht="15.75" customHeight="1">
      <c r="A274" s="1"/>
      <c r="B274" s="1"/>
      <c r="C274" s="1"/>
      <c r="D274" s="1"/>
    </row>
    <row r="275" ht="27.75" customHeight="1">
      <c r="A275" s="1"/>
      <c r="B275" s="8" t="s">
        <v>163</v>
      </c>
      <c r="C275" s="7"/>
      <c r="D275" s="1"/>
    </row>
    <row r="276" ht="57.75" customHeight="1">
      <c r="A276" s="1"/>
      <c r="B276" s="20" t="s">
        <v>553</v>
      </c>
      <c r="C276" s="7"/>
      <c r="D276" s="1"/>
    </row>
    <row r="277" ht="33.75" customHeight="1">
      <c r="A277" s="1"/>
      <c r="B277" s="10" t="s">
        <v>5</v>
      </c>
      <c r="C277" s="21" t="s">
        <v>554</v>
      </c>
      <c r="D277" s="1"/>
    </row>
    <row r="278" ht="33.75" customHeight="1">
      <c r="A278" s="1"/>
      <c r="B278" s="10" t="s">
        <v>7</v>
      </c>
      <c r="C278" s="21" t="s">
        <v>555</v>
      </c>
      <c r="D278" s="1"/>
    </row>
    <row r="279" ht="33.75" customHeight="1">
      <c r="A279" s="1"/>
      <c r="B279" s="10" t="s">
        <v>9</v>
      </c>
      <c r="C279" s="11" t="s">
        <v>556</v>
      </c>
      <c r="D279" s="1"/>
    </row>
    <row r="280" ht="33.75" customHeight="1">
      <c r="A280" s="1"/>
      <c r="B280" s="10" t="s">
        <v>11</v>
      </c>
      <c r="C280" s="21" t="s">
        <v>557</v>
      </c>
      <c r="D280" s="1"/>
    </row>
    <row r="281" ht="42.0" customHeight="1">
      <c r="A281" s="1"/>
      <c r="B281" s="12" t="s">
        <v>13</v>
      </c>
      <c r="C281" s="13"/>
      <c r="D281" s="1"/>
    </row>
    <row r="282" ht="39.75" customHeight="1">
      <c r="A282" s="1"/>
      <c r="B282" s="14" t="s">
        <v>14</v>
      </c>
      <c r="C282" s="15" t="str">
        <f>IF(C281="","← A〜D を選択してください",IF(C281="B","✅ 正解！ 素晴らしいです！","❌ 不正解... 正解は B です！"))</f>
        <v>← A〜D を選択してください</v>
      </c>
      <c r="D282" s="1"/>
    </row>
    <row r="283" ht="79.5" customHeight="1">
      <c r="A283" s="1"/>
      <c r="B283" s="16" t="s">
        <v>15</v>
      </c>
      <c r="C283" s="17" t="str">
        <f>IF(C281="","回答を選択すると解説が表示されます","正解はBです。
コンソール接続（ロールオーバーケーブル使用）は機器の初期設定時やネットワーク接続が切断されている場合のアウトオブバンド管理手段です。
ネットワーク経由でのアクセスが不可能な緊急時に使用します。")</f>
        <v>回答を選択すると解説が表示されます</v>
      </c>
      <c r="D283" s="1"/>
    </row>
    <row r="284" ht="15.75" customHeight="1">
      <c r="A284" s="1"/>
      <c r="B284" s="1"/>
      <c r="C284" s="1"/>
      <c r="D284" s="1"/>
    </row>
    <row r="285" ht="27.75" customHeight="1">
      <c r="A285" s="1"/>
      <c r="B285" s="8" t="s">
        <v>169</v>
      </c>
      <c r="C285" s="7"/>
      <c r="D285" s="1"/>
    </row>
    <row r="286" ht="57.75" customHeight="1">
      <c r="A286" s="1"/>
      <c r="B286" s="9" t="s">
        <v>558</v>
      </c>
      <c r="C286" s="7"/>
      <c r="D286" s="1"/>
    </row>
    <row r="287" ht="33.75" customHeight="1">
      <c r="A287" s="1"/>
      <c r="B287" s="10" t="s">
        <v>5</v>
      </c>
      <c r="C287" s="21" t="s">
        <v>559</v>
      </c>
      <c r="D287" s="1"/>
    </row>
    <row r="288" ht="33.75" customHeight="1">
      <c r="A288" s="1"/>
      <c r="B288" s="10" t="s">
        <v>7</v>
      </c>
      <c r="C288" s="21" t="s">
        <v>560</v>
      </c>
      <c r="D288" s="1"/>
    </row>
    <row r="289" ht="33.75" customHeight="1">
      <c r="A289" s="1"/>
      <c r="B289" s="10" t="s">
        <v>9</v>
      </c>
      <c r="C289" s="21" t="s">
        <v>561</v>
      </c>
      <c r="D289" s="1"/>
    </row>
    <row r="290" ht="33.75" customHeight="1">
      <c r="A290" s="1"/>
      <c r="B290" s="10" t="s">
        <v>11</v>
      </c>
      <c r="C290" s="21" t="s">
        <v>562</v>
      </c>
      <c r="D290" s="1"/>
    </row>
    <row r="291" ht="42.0" customHeight="1">
      <c r="A291" s="1"/>
      <c r="B291" s="12" t="s">
        <v>13</v>
      </c>
      <c r="C291" s="13"/>
      <c r="D291" s="1"/>
    </row>
    <row r="292" ht="39.75" customHeight="1">
      <c r="A292" s="1"/>
      <c r="B292" s="14" t="s">
        <v>14</v>
      </c>
      <c r="C292" s="15" t="str">
        <f>IF(C291="","← A〜D を選択してください",IF(C291="B","✅ 正解！ 素晴らしいです！","❌ 不正解... 正解は B です！"))</f>
        <v>← A〜D を選択してください</v>
      </c>
      <c r="D292" s="1"/>
    </row>
    <row r="293" ht="79.5" customHeight="1">
      <c r="A293" s="1"/>
      <c r="B293" s="16" t="s">
        <v>15</v>
      </c>
      <c r="C293" s="17" t="str">
        <f>IF(C291="","回答を選択すると解説が表示されます","正解はBです。
CAN（Campus Area Network）は大学のキャンパスや企業の敷地内など、複数の建物をカバーするネットワークです。
LANより広くWANより狭い規模で、MANと近いですがキャンパス・施設単位の概念です。")</f>
        <v>回答を選択すると解説が表示されます</v>
      </c>
      <c r="D293" s="1"/>
    </row>
    <row r="294" ht="15.75" customHeight="1">
      <c r="A294" s="1"/>
      <c r="B294" s="1"/>
      <c r="C294" s="1"/>
      <c r="D294" s="1"/>
    </row>
    <row r="295" ht="27.75" customHeight="1">
      <c r="A295" s="1"/>
      <c r="B295" s="8" t="s">
        <v>175</v>
      </c>
      <c r="C295" s="7"/>
      <c r="D295" s="1"/>
    </row>
    <row r="296" ht="57.75" customHeight="1">
      <c r="A296" s="1"/>
      <c r="B296" s="9" t="s">
        <v>563</v>
      </c>
      <c r="C296" s="7"/>
      <c r="D296" s="1"/>
    </row>
    <row r="297" ht="33.75" customHeight="1">
      <c r="A297" s="1"/>
      <c r="B297" s="10" t="s">
        <v>5</v>
      </c>
      <c r="C297" s="11" t="s">
        <v>564</v>
      </c>
      <c r="D297" s="1"/>
    </row>
    <row r="298" ht="33.75" customHeight="1">
      <c r="A298" s="1"/>
      <c r="B298" s="10" t="s">
        <v>7</v>
      </c>
      <c r="C298" s="21" t="s">
        <v>565</v>
      </c>
      <c r="D298" s="1"/>
    </row>
    <row r="299" ht="33.75" customHeight="1">
      <c r="A299" s="1"/>
      <c r="B299" s="10" t="s">
        <v>9</v>
      </c>
      <c r="C299" s="11" t="s">
        <v>566</v>
      </c>
      <c r="D299" s="1"/>
    </row>
    <row r="300" ht="33.75" customHeight="1">
      <c r="A300" s="1"/>
      <c r="B300" s="10" t="s">
        <v>11</v>
      </c>
      <c r="C300" s="21" t="s">
        <v>567</v>
      </c>
      <c r="D300" s="1"/>
    </row>
    <row r="301" ht="42.0" customHeight="1">
      <c r="A301" s="1"/>
      <c r="B301" s="12" t="s">
        <v>13</v>
      </c>
      <c r="C301" s="13"/>
      <c r="D301" s="1"/>
    </row>
    <row r="302" ht="39.75" customHeight="1">
      <c r="A302" s="1"/>
      <c r="B302" s="14" t="s">
        <v>14</v>
      </c>
      <c r="C302" s="15" t="str">
        <f>IF(C301="","← A〜D を選択してください",IF(C301="B","✅ 正解！ 素晴らしいです！","❌ 不正解... 正解は B です！"))</f>
        <v>← A〜D を選択してください</v>
      </c>
      <c r="D302" s="1"/>
    </row>
    <row r="303" ht="79.5" customHeight="1">
      <c r="A303" s="1"/>
      <c r="B303" s="16" t="s">
        <v>15</v>
      </c>
      <c r="C303" s="17" t="str">
        <f>IF(C301="","回答を選択すると解説が表示されます","正解はBです。
IoT（モノのインターネット）デバイスは、従来はネットワーク接続されていなかった物理的なモノにセンサーとネットワーク接続機能を持たせたものです。
スマートセンサー・スマート家電・産業用センサー・ネットワークカメラなどが例として挙げられます。")</f>
        <v>回答を選択すると解説が表示されます</v>
      </c>
      <c r="D303" s="1"/>
    </row>
    <row r="304" ht="15.75" customHeight="1">
      <c r="A304" s="1"/>
      <c r="B304" s="1"/>
      <c r="C304" s="1"/>
      <c r="D304" s="1"/>
    </row>
    <row r="305" ht="27.75" customHeight="1">
      <c r="A305" s="1"/>
      <c r="B305" s="8" t="s">
        <v>181</v>
      </c>
      <c r="C305" s="7"/>
      <c r="D305" s="1"/>
    </row>
    <row r="306" ht="57.75" customHeight="1">
      <c r="A306" s="1"/>
      <c r="B306" s="9" t="s">
        <v>568</v>
      </c>
      <c r="C306" s="7"/>
      <c r="D306" s="1"/>
    </row>
    <row r="307" ht="33.75" customHeight="1">
      <c r="A307" s="1"/>
      <c r="B307" s="10" t="s">
        <v>5</v>
      </c>
      <c r="C307" s="21" t="s">
        <v>569</v>
      </c>
      <c r="D307" s="1"/>
    </row>
    <row r="308" ht="33.75" customHeight="1">
      <c r="A308" s="1"/>
      <c r="B308" s="10" t="s">
        <v>7</v>
      </c>
      <c r="C308" s="21" t="s">
        <v>570</v>
      </c>
      <c r="D308" s="1"/>
    </row>
    <row r="309" ht="33.75" customHeight="1">
      <c r="A309" s="1"/>
      <c r="B309" s="10" t="s">
        <v>9</v>
      </c>
      <c r="C309" s="11" t="s">
        <v>220</v>
      </c>
      <c r="D309" s="1"/>
    </row>
    <row r="310" ht="33.75" customHeight="1">
      <c r="A310" s="1"/>
      <c r="B310" s="10" t="s">
        <v>11</v>
      </c>
      <c r="C310" s="21" t="s">
        <v>571</v>
      </c>
      <c r="D310" s="1"/>
    </row>
    <row r="311" ht="42.0" customHeight="1">
      <c r="A311" s="1"/>
      <c r="B311" s="12" t="s">
        <v>13</v>
      </c>
      <c r="C311" s="13"/>
      <c r="D311" s="1"/>
    </row>
    <row r="312" ht="39.75" customHeight="1">
      <c r="A312" s="1"/>
      <c r="B312" s="14" t="s">
        <v>14</v>
      </c>
      <c r="C312" s="15" t="str">
        <f>IF(C311="","← A〜D を選択してください",IF(C311="B","✅ 正解！ 素晴らしいです！","❌ 不正解... 正解は B です！"))</f>
        <v>← A〜D を選択してください</v>
      </c>
      <c r="D312" s="1"/>
    </row>
    <row r="313" ht="79.5" customHeight="1">
      <c r="A313" s="1"/>
      <c r="B313" s="16" t="s">
        <v>15</v>
      </c>
      <c r="C313" s="17" t="str">
        <f>IF(C311="","回答を選択すると解説が表示されます","正解はBです。
Active Directory（AD）はMicrosoftのディレクトリサービスで、ユーザー認証・アクセス権限管理・グループポリシーなどを一元管理します。
AAAの「認証」と「認可」を担うアイデンティティストア/データベースの代表例です。")</f>
        <v>回答を選択すると解説が表示されます</v>
      </c>
      <c r="D313" s="1"/>
    </row>
    <row r="314" ht="15.75" customHeight="1">
      <c r="A314" s="1"/>
      <c r="B314" s="1"/>
      <c r="C314" s="1"/>
      <c r="D314" s="1"/>
    </row>
    <row r="315" ht="27.75" customHeight="1">
      <c r="A315" s="1"/>
      <c r="B315" s="8" t="s">
        <v>186</v>
      </c>
      <c r="C315" s="7"/>
      <c r="D315" s="1"/>
    </row>
    <row r="316" ht="57.75" customHeight="1">
      <c r="A316" s="1"/>
      <c r="B316" s="9" t="s">
        <v>572</v>
      </c>
      <c r="C316" s="7"/>
      <c r="D316" s="1"/>
    </row>
    <row r="317" ht="33.75" customHeight="1">
      <c r="A317" s="1"/>
      <c r="B317" s="10" t="s">
        <v>5</v>
      </c>
      <c r="C317" s="21" t="s">
        <v>573</v>
      </c>
      <c r="D317" s="1"/>
    </row>
    <row r="318" ht="33.75" customHeight="1">
      <c r="A318" s="1"/>
      <c r="B318" s="10" t="s">
        <v>7</v>
      </c>
      <c r="C318" s="21" t="s">
        <v>574</v>
      </c>
      <c r="D318" s="1"/>
    </row>
    <row r="319" ht="33.75" customHeight="1">
      <c r="A319" s="1"/>
      <c r="B319" s="10" t="s">
        <v>9</v>
      </c>
      <c r="C319" s="21" t="s">
        <v>575</v>
      </c>
      <c r="D319" s="1"/>
    </row>
    <row r="320" ht="33.75" customHeight="1">
      <c r="A320" s="1"/>
      <c r="B320" s="10" t="s">
        <v>11</v>
      </c>
      <c r="C320" s="21" t="s">
        <v>576</v>
      </c>
      <c r="D320" s="1"/>
    </row>
    <row r="321" ht="42.0" customHeight="1">
      <c r="A321" s="1"/>
      <c r="B321" s="12" t="s">
        <v>13</v>
      </c>
      <c r="C321" s="13"/>
      <c r="D321" s="1"/>
    </row>
    <row r="322" ht="39.75" customHeight="1">
      <c r="A322" s="1"/>
      <c r="B322" s="14" t="s">
        <v>14</v>
      </c>
      <c r="C322" s="15" t="str">
        <f>IF(C321="","← A〜D を選択してください",IF(C321="B","✅ 正解！ 素晴らしいです！","❌ 不正解... 正解は B です！"))</f>
        <v>← A〜D を選択してください</v>
      </c>
      <c r="D322" s="1"/>
    </row>
    <row r="323" ht="79.5" customHeight="1">
      <c r="A323" s="1"/>
      <c r="B323" s="16" t="s">
        <v>15</v>
      </c>
      <c r="C323" s="17" t="str">
        <f>IF(C321="","回答を選択すると解説が表示されます","正解はBです。
DoS（Denial of Service）攻撃は標的のサーバーやネットワークに大量のトラフィックを送信してリソースを枯渇させ、正規ユーザーがサービスを利用できなくする攻撃です。
複数の機器から行う場合はDDoS（Distributed DoS）と呼ばれます。")</f>
        <v>回答を選択すると解説が表示されます</v>
      </c>
      <c r="D323" s="1"/>
    </row>
    <row r="324" ht="15.75" customHeight="1">
      <c r="A324" s="1"/>
      <c r="B324" s="1"/>
      <c r="C324" s="1"/>
      <c r="D324" s="1"/>
    </row>
    <row r="325" ht="27.75" customHeight="1">
      <c r="A325" s="1"/>
      <c r="B325" s="8" t="s">
        <v>192</v>
      </c>
      <c r="C325" s="7"/>
      <c r="D325" s="1"/>
    </row>
    <row r="326" ht="57.75" customHeight="1">
      <c r="A326" s="1"/>
      <c r="B326" s="9" t="s">
        <v>577</v>
      </c>
      <c r="C326" s="7"/>
      <c r="D326" s="1"/>
    </row>
    <row r="327" ht="33.75" customHeight="1">
      <c r="A327" s="1"/>
      <c r="B327" s="10" t="s">
        <v>5</v>
      </c>
      <c r="C327" s="11" t="s">
        <v>578</v>
      </c>
      <c r="D327" s="1"/>
    </row>
    <row r="328" ht="33.75" customHeight="1">
      <c r="A328" s="1"/>
      <c r="B328" s="10" t="s">
        <v>7</v>
      </c>
      <c r="C328" s="21" t="s">
        <v>579</v>
      </c>
      <c r="D328" s="1"/>
    </row>
    <row r="329" ht="33.75" customHeight="1">
      <c r="A329" s="1"/>
      <c r="B329" s="10" t="s">
        <v>9</v>
      </c>
      <c r="C329" s="11" t="s">
        <v>580</v>
      </c>
      <c r="D329" s="1"/>
    </row>
    <row r="330" ht="33.75" customHeight="1">
      <c r="A330" s="1"/>
      <c r="B330" s="10" t="s">
        <v>11</v>
      </c>
      <c r="C330" s="21" t="s">
        <v>581</v>
      </c>
      <c r="D330" s="1"/>
    </row>
    <row r="331" ht="42.0" customHeight="1">
      <c r="A331" s="1"/>
      <c r="B331" s="12" t="s">
        <v>13</v>
      </c>
      <c r="C331" s="13"/>
      <c r="D331" s="1"/>
    </row>
    <row r="332" ht="39.75" customHeight="1">
      <c r="A332" s="1"/>
      <c r="B332" s="14" t="s">
        <v>14</v>
      </c>
      <c r="C332" s="15" t="str">
        <f>IF(C331="","← A〜D を選択してください",IF(C331="B","✅ 正解！ 素晴らしいです！","❌ 不正解... 正解は B です！"))</f>
        <v>← A〜D を選択してください</v>
      </c>
      <c r="D332" s="1"/>
    </row>
    <row r="333" ht="79.5" customHeight="1">
      <c r="A333" s="1"/>
      <c r="B333" s="16" t="s">
        <v>15</v>
      </c>
      <c r="C333" s="17" t="str">
        <f>IF(C331="","回答を選択すると解説が表示されます","正解はBです。
WPA3は2018年に策定された最新の無線セキュリティ規格です。
SAE（Simultaneous Authentication of Equals）という新しい認証方式を採用し、WPA2-Personalで問題だったオフライン辞書攻撃への耐性が向上しています。")</f>
        <v>回答を選択すると解説が表示されます</v>
      </c>
      <c r="D333" s="1"/>
    </row>
    <row r="334" ht="15.75" customHeight="1">
      <c r="A334" s="1"/>
      <c r="B334" s="1"/>
      <c r="C334" s="1"/>
      <c r="D334" s="1"/>
    </row>
    <row r="335" ht="27.75" customHeight="1">
      <c r="A335" s="1"/>
      <c r="B335" s="8" t="s">
        <v>198</v>
      </c>
      <c r="C335" s="7"/>
      <c r="D335" s="1"/>
    </row>
    <row r="336" ht="57.75" customHeight="1">
      <c r="A336" s="1"/>
      <c r="B336" s="20" t="s">
        <v>582</v>
      </c>
      <c r="C336" s="7"/>
      <c r="D336" s="1"/>
    </row>
    <row r="337" ht="33.75" customHeight="1">
      <c r="A337" s="1"/>
      <c r="B337" s="10" t="s">
        <v>5</v>
      </c>
      <c r="C337" s="21" t="s">
        <v>249</v>
      </c>
      <c r="D337" s="1"/>
    </row>
    <row r="338" ht="33.75" customHeight="1">
      <c r="A338" s="1"/>
      <c r="B338" s="10" t="s">
        <v>7</v>
      </c>
      <c r="C338" s="21" t="s">
        <v>583</v>
      </c>
      <c r="D338" s="1"/>
    </row>
    <row r="339" ht="33.75" customHeight="1">
      <c r="A339" s="1"/>
      <c r="B339" s="10" t="s">
        <v>9</v>
      </c>
      <c r="C339" s="11" t="s">
        <v>220</v>
      </c>
      <c r="D339" s="1"/>
    </row>
    <row r="340" ht="33.75" customHeight="1">
      <c r="A340" s="1"/>
      <c r="B340" s="10" t="s">
        <v>11</v>
      </c>
      <c r="C340" s="21" t="s">
        <v>584</v>
      </c>
      <c r="D340" s="1"/>
    </row>
    <row r="341" ht="42.0" customHeight="1">
      <c r="A341" s="1"/>
      <c r="B341" s="12" t="s">
        <v>13</v>
      </c>
      <c r="C341" s="13"/>
      <c r="D341" s="1"/>
    </row>
    <row r="342" ht="39.75" customHeight="1">
      <c r="A342" s="1"/>
      <c r="B342" s="14" t="s">
        <v>14</v>
      </c>
      <c r="C342" s="15" t="str">
        <f>IF(C341="","← A〜D を選択してください",IF(C341="B","✅ 正解！ 素晴らしいです！","❌ 不正解... 正解は B です！"))</f>
        <v>← A〜D を選択してください</v>
      </c>
      <c r="D342" s="1"/>
    </row>
    <row r="343" ht="79.5" customHeight="1">
      <c r="A343" s="1"/>
      <c r="B343" s="16" t="s">
        <v>15</v>
      </c>
      <c r="C343" s="17" t="str">
        <f>IF(C341="","回答を選択すると解説が表示されます","正解はBです。
暗号化はデータを解読できない形式に変換することで、不正アクセスや盗聴からデータを保護します。
HTTPS（TLS）・SSH・WPA2/WPA3などの通信暗号化や、ストレージの暗号化がその例です。")</f>
        <v>回答を選択すると解説が表示されます</v>
      </c>
      <c r="D343" s="1"/>
    </row>
    <row r="344" ht="15.75" customHeight="1">
      <c r="A344" s="1"/>
      <c r="B344" s="1"/>
      <c r="C344" s="1"/>
      <c r="D344" s="1"/>
    </row>
    <row r="345" ht="27.75" customHeight="1">
      <c r="A345" s="1"/>
      <c r="B345" s="8" t="s">
        <v>204</v>
      </c>
      <c r="C345" s="7"/>
      <c r="D345" s="1"/>
    </row>
    <row r="346" ht="57.75" customHeight="1">
      <c r="A346" s="1"/>
      <c r="B346" s="20" t="s">
        <v>585</v>
      </c>
      <c r="C346" s="7"/>
      <c r="D346" s="1"/>
    </row>
    <row r="347" ht="33.75" customHeight="1">
      <c r="A347" s="1"/>
      <c r="B347" s="10" t="s">
        <v>5</v>
      </c>
      <c r="C347" s="21" t="s">
        <v>586</v>
      </c>
      <c r="D347" s="1"/>
    </row>
    <row r="348" ht="33.75" customHeight="1">
      <c r="A348" s="1"/>
      <c r="B348" s="10" t="s">
        <v>7</v>
      </c>
      <c r="C348" s="21" t="s">
        <v>587</v>
      </c>
      <c r="D348" s="1"/>
    </row>
    <row r="349" ht="33.75" customHeight="1">
      <c r="A349" s="1"/>
      <c r="B349" s="10" t="s">
        <v>9</v>
      </c>
      <c r="C349" s="21" t="s">
        <v>588</v>
      </c>
      <c r="D349" s="1"/>
    </row>
    <row r="350" ht="33.75" customHeight="1">
      <c r="A350" s="1"/>
      <c r="B350" s="10" t="s">
        <v>11</v>
      </c>
      <c r="C350" s="21" t="s">
        <v>589</v>
      </c>
      <c r="D350" s="1"/>
    </row>
    <row r="351" ht="42.0" customHeight="1">
      <c r="A351" s="1"/>
      <c r="B351" s="12" t="s">
        <v>13</v>
      </c>
      <c r="C351" s="13"/>
      <c r="D351" s="1"/>
    </row>
    <row r="352" ht="39.75" customHeight="1">
      <c r="A352" s="1"/>
      <c r="B352" s="14" t="s">
        <v>14</v>
      </c>
      <c r="C352" s="15" t="str">
        <f>IF(C351="","← A〜D を選択してください",IF(C351="B","✅ 正解！ 素晴らしいです！","❌ 不正解... 正解は B です！"))</f>
        <v>← A〜D を選択してください</v>
      </c>
      <c r="D352" s="1"/>
    </row>
    <row r="353" ht="60.0" customHeight="1">
      <c r="A353" s="1"/>
      <c r="B353" s="16" t="s">
        <v>15</v>
      </c>
      <c r="C353" s="17" t="str">
        <f>IF(C351="","回答を選択すると解説が表示されます","正解はBです。
マルウェア（Malicious Software）はウイルス・ワーム・トロイの木馬・ランサムウェア・スパイウェアなど、悪意のある目的で作成されたソフトウェアの総称です。")</f>
        <v>回答を選択すると解説が表示されます</v>
      </c>
      <c r="D353" s="1"/>
    </row>
    <row r="354" ht="15.75" customHeight="1">
      <c r="A354" s="1"/>
      <c r="B354" s="1"/>
      <c r="C354" s="1"/>
      <c r="D354" s="1"/>
    </row>
    <row r="355" ht="27.75" customHeight="1">
      <c r="A355" s="1"/>
      <c r="B355" s="8" t="s">
        <v>210</v>
      </c>
      <c r="C355" s="7"/>
      <c r="D355" s="1"/>
    </row>
    <row r="356" ht="57.75" customHeight="1">
      <c r="A356" s="1"/>
      <c r="B356" s="20" t="s">
        <v>590</v>
      </c>
      <c r="C356" s="7"/>
      <c r="D356" s="1"/>
    </row>
    <row r="357" ht="33.75" customHeight="1">
      <c r="A357" s="1"/>
      <c r="B357" s="10" t="s">
        <v>5</v>
      </c>
      <c r="C357" s="21" t="s">
        <v>591</v>
      </c>
      <c r="D357" s="1"/>
    </row>
    <row r="358" ht="33.75" customHeight="1">
      <c r="A358" s="1"/>
      <c r="B358" s="10" t="s">
        <v>7</v>
      </c>
      <c r="C358" s="21" t="s">
        <v>592</v>
      </c>
      <c r="D358" s="1"/>
    </row>
    <row r="359" ht="33.75" customHeight="1">
      <c r="A359" s="1"/>
      <c r="B359" s="10" t="s">
        <v>9</v>
      </c>
      <c r="C359" s="21" t="s">
        <v>593</v>
      </c>
      <c r="D359" s="1"/>
    </row>
    <row r="360" ht="33.75" customHeight="1">
      <c r="A360" s="1"/>
      <c r="B360" s="10" t="s">
        <v>11</v>
      </c>
      <c r="C360" s="21" t="s">
        <v>594</v>
      </c>
      <c r="D360" s="1"/>
    </row>
    <row r="361" ht="42.0" customHeight="1">
      <c r="A361" s="1"/>
      <c r="B361" s="12" t="s">
        <v>13</v>
      </c>
      <c r="C361" s="13"/>
      <c r="D361" s="1"/>
    </row>
    <row r="362" ht="39.75" customHeight="1">
      <c r="A362" s="1"/>
      <c r="B362" s="14" t="s">
        <v>14</v>
      </c>
      <c r="C362" s="15" t="str">
        <f>IF(C361="","← A〜D を選択してください",IF(C361="B","✅ 正解！ 素晴らしいです！","❌ 不正解... 正解は B です！"))</f>
        <v>← A〜D を選択してください</v>
      </c>
      <c r="D362" s="1"/>
    </row>
    <row r="363" ht="79.5" customHeight="1">
      <c r="A363" s="1"/>
      <c r="B363" s="16" t="s">
        <v>15</v>
      </c>
      <c r="C363" s="17" t="str">
        <f>IF(C361="","回答を選択すると解説が表示されます","正解はBです。
スパムは受信者の同意なく大量送信される迷惑メール・メッセージ・広告です。
フィッシング詐欺の手段として悪用されることもあります。")</f>
        <v>回答を選択すると解説が表示されます</v>
      </c>
      <c r="D363" s="1"/>
    </row>
    <row r="364" ht="15.75" customHeight="1">
      <c r="A364" s="1"/>
      <c r="B364" s="1"/>
      <c r="C364" s="1"/>
      <c r="D364" s="1"/>
    </row>
    <row r="365" ht="27.75" customHeight="1">
      <c r="A365" s="1"/>
      <c r="B365" s="8" t="s">
        <v>216</v>
      </c>
      <c r="C365" s="7"/>
      <c r="D365" s="1"/>
    </row>
    <row r="366" ht="57.75" customHeight="1">
      <c r="A366" s="1"/>
      <c r="B366" s="20" t="s">
        <v>595</v>
      </c>
      <c r="C366" s="7"/>
      <c r="D366" s="1"/>
    </row>
    <row r="367" ht="33.75" customHeight="1">
      <c r="A367" s="1"/>
      <c r="B367" s="10" t="s">
        <v>5</v>
      </c>
      <c r="C367" s="21" t="s">
        <v>596</v>
      </c>
      <c r="D367" s="1"/>
    </row>
    <row r="368" ht="33.75" customHeight="1">
      <c r="A368" s="1"/>
      <c r="B368" s="10" t="s">
        <v>7</v>
      </c>
      <c r="C368" s="11" t="s">
        <v>597</v>
      </c>
      <c r="D368" s="1"/>
    </row>
    <row r="369" ht="33.75" customHeight="1">
      <c r="A369" s="1"/>
      <c r="B369" s="10" t="s">
        <v>9</v>
      </c>
      <c r="C369" s="11" t="s">
        <v>598</v>
      </c>
      <c r="D369" s="1"/>
    </row>
    <row r="370" ht="33.75" customHeight="1">
      <c r="A370" s="1"/>
      <c r="B370" s="10" t="s">
        <v>11</v>
      </c>
      <c r="C370" s="21" t="s">
        <v>599</v>
      </c>
      <c r="D370" s="1"/>
    </row>
    <row r="371" ht="42.0" customHeight="1">
      <c r="A371" s="1"/>
      <c r="B371" s="12" t="s">
        <v>13</v>
      </c>
      <c r="C371" s="13"/>
      <c r="D371" s="1"/>
    </row>
    <row r="372" ht="39.75" customHeight="1">
      <c r="A372" s="1"/>
      <c r="B372" s="14" t="s">
        <v>14</v>
      </c>
      <c r="C372" s="15" t="str">
        <f>IF(C371="","← A〜D を選択してください",IF(C371="B","✅ 正解！ 素晴らしいです！","❌ 不正解... 正解は B です！"))</f>
        <v>← A〜D を選択してください</v>
      </c>
      <c r="D372" s="1"/>
    </row>
    <row r="373" ht="79.5" customHeight="1">
      <c r="A373" s="1"/>
      <c r="B373" s="16" t="s">
        <v>15</v>
      </c>
      <c r="C373" s="17" t="str">
        <f>IF(C371="","回答を選択すると解説が表示されます","正解はBです。
SSL/TLS証明書（デジタル証明書）はWebサイトの身元を証明し（なりすまし防止）、ブラウザとサーバー間のHTTPS暗号化通信を確立するために使用されます。
認証局（CA）が発行します。")</f>
        <v>回答を選択すると解説が表示されます</v>
      </c>
      <c r="D373" s="1"/>
    </row>
    <row r="374" ht="15.75" customHeight="1">
      <c r="A374" s="1"/>
      <c r="B374" s="1"/>
      <c r="C374" s="1"/>
      <c r="D374" s="1"/>
    </row>
    <row r="375" ht="27.75" customHeight="1">
      <c r="A375" s="1"/>
      <c r="B375" s="8" t="s">
        <v>222</v>
      </c>
      <c r="C375" s="7"/>
      <c r="D375" s="1"/>
    </row>
    <row r="376" ht="57.75" customHeight="1">
      <c r="A376" s="1"/>
      <c r="B376" s="9" t="s">
        <v>600</v>
      </c>
      <c r="C376" s="7"/>
      <c r="D376" s="1"/>
    </row>
    <row r="377" ht="33.75" customHeight="1">
      <c r="A377" s="1"/>
      <c r="B377" s="10" t="s">
        <v>5</v>
      </c>
      <c r="C377" s="21" t="s">
        <v>601</v>
      </c>
      <c r="D377" s="1"/>
    </row>
    <row r="378" ht="33.75" customHeight="1">
      <c r="A378" s="1"/>
      <c r="B378" s="10" t="s">
        <v>7</v>
      </c>
      <c r="C378" s="11" t="s">
        <v>602</v>
      </c>
      <c r="D378" s="1"/>
    </row>
    <row r="379" ht="33.75" customHeight="1">
      <c r="A379" s="1"/>
      <c r="B379" s="10" t="s">
        <v>9</v>
      </c>
      <c r="C379" s="21" t="s">
        <v>603</v>
      </c>
      <c r="D379" s="1"/>
    </row>
    <row r="380" ht="33.75" customHeight="1">
      <c r="A380" s="1"/>
      <c r="B380" s="10" t="s">
        <v>11</v>
      </c>
      <c r="C380" s="21" t="s">
        <v>604</v>
      </c>
      <c r="D380" s="1"/>
    </row>
    <row r="381" ht="42.0" customHeight="1">
      <c r="A381" s="1"/>
      <c r="B381" s="12" t="s">
        <v>13</v>
      </c>
      <c r="C381" s="13"/>
      <c r="D381" s="1"/>
    </row>
    <row r="382" ht="39.75" customHeight="1">
      <c r="A382" s="1"/>
      <c r="B382" s="14" t="s">
        <v>14</v>
      </c>
      <c r="C382" s="15" t="str">
        <f>IF(C381="","← A〜D を選択してください",IF(C381="B","✅ 正解！ 素晴らしいです！","❌ 不正解... 正解は B です！"))</f>
        <v>← A〜D を選択してください</v>
      </c>
      <c r="D382" s="1"/>
    </row>
    <row r="383" ht="60.0" customHeight="1">
      <c r="A383" s="1"/>
      <c r="B383" s="16" t="s">
        <v>15</v>
      </c>
      <c r="C383" s="17" t="str">
        <f>IF(C381="","回答を選択すると解説が表示されます","正解はBです。
show versionはCisco機器のIOS（OSソフトウェア）バージョン・ハードウェアモデル・RAM/フラッシュメモリ・稼働時間（uptime）・ライセンス情報などを表示します。")</f>
        <v>回答を選択すると解説が表示されます</v>
      </c>
      <c r="D383" s="1"/>
    </row>
    <row r="384" ht="15.75" customHeight="1">
      <c r="A384" s="1"/>
      <c r="B384" s="1"/>
      <c r="C384" s="1"/>
      <c r="D384" s="1"/>
    </row>
    <row r="385" ht="27.75" customHeight="1">
      <c r="A385" s="1"/>
      <c r="B385" s="8" t="s">
        <v>228</v>
      </c>
      <c r="C385" s="7"/>
      <c r="D385" s="1"/>
    </row>
    <row r="386" ht="57.75" customHeight="1">
      <c r="A386" s="1"/>
      <c r="B386" s="9" t="s">
        <v>605</v>
      </c>
      <c r="C386" s="7"/>
      <c r="D386" s="1"/>
    </row>
    <row r="387" ht="33.75" customHeight="1">
      <c r="A387" s="1"/>
      <c r="B387" s="10" t="s">
        <v>5</v>
      </c>
      <c r="C387" s="21" t="s">
        <v>606</v>
      </c>
      <c r="D387" s="1"/>
    </row>
    <row r="388" ht="33.75" customHeight="1">
      <c r="A388" s="1"/>
      <c r="B388" s="10" t="s">
        <v>7</v>
      </c>
      <c r="C388" s="21" t="s">
        <v>607</v>
      </c>
      <c r="D388" s="1"/>
    </row>
    <row r="389" ht="33.75" customHeight="1">
      <c r="A389" s="1"/>
      <c r="B389" s="10" t="s">
        <v>9</v>
      </c>
      <c r="C389" s="11" t="s">
        <v>608</v>
      </c>
      <c r="D389" s="1"/>
    </row>
    <row r="390" ht="33.75" customHeight="1">
      <c r="A390" s="1"/>
      <c r="B390" s="10" t="s">
        <v>11</v>
      </c>
      <c r="C390" s="11" t="s">
        <v>157</v>
      </c>
      <c r="D390" s="1"/>
    </row>
    <row r="391" ht="42.0" customHeight="1">
      <c r="A391" s="1"/>
      <c r="B391" s="12" t="s">
        <v>13</v>
      </c>
      <c r="C391" s="13"/>
      <c r="D391" s="1"/>
    </row>
    <row r="392" ht="39.75" customHeight="1">
      <c r="A392" s="1"/>
      <c r="B392" s="14" t="s">
        <v>14</v>
      </c>
      <c r="C392" s="15" t="str">
        <f>IF(C391="","← A〜D を選択してください",IF(C391="B","✅ 正解！ 素晴らしいです！","❌ 不正解... 正解は B です！"))</f>
        <v>← A〜D を選択してください</v>
      </c>
      <c r="D392" s="1"/>
    </row>
    <row r="393" ht="79.5" customHeight="1">
      <c r="A393" s="1"/>
      <c r="B393" s="16" t="s">
        <v>15</v>
      </c>
      <c r="C393" s="17" t="str">
        <f>IF(C391="","回答を選択すると解説が表示されます","正解はBです。
show interface statusは各ポートの接続状態（connected/notconnect）・速度・デュプレックス設定・VLANを一覧で表示します。
ポートの物理的な接続状態を素早く確認するのに便利なコマンドです。")</f>
        <v>回答を選択すると解説が表示されます</v>
      </c>
      <c r="D393" s="1"/>
    </row>
    <row r="394" ht="15.75" customHeight="1">
      <c r="A394" s="1"/>
      <c r="B394" s="1"/>
      <c r="C394" s="1"/>
      <c r="D394" s="1"/>
    </row>
    <row r="395" ht="27.75" customHeight="1">
      <c r="A395" s="1"/>
      <c r="B395" s="8" t="s">
        <v>232</v>
      </c>
      <c r="C395" s="7"/>
      <c r="D395" s="1"/>
    </row>
    <row r="396" ht="57.75" customHeight="1">
      <c r="A396" s="1"/>
      <c r="B396" s="20" t="s">
        <v>609</v>
      </c>
      <c r="C396" s="7"/>
      <c r="D396" s="1"/>
    </row>
    <row r="397" ht="33.75" customHeight="1">
      <c r="A397" s="1"/>
      <c r="B397" s="10" t="s">
        <v>5</v>
      </c>
      <c r="C397" s="21" t="s">
        <v>610</v>
      </c>
      <c r="D397" s="1"/>
    </row>
    <row r="398" ht="33.75" customHeight="1">
      <c r="A398" s="1"/>
      <c r="B398" s="10" t="s">
        <v>7</v>
      </c>
      <c r="C398" s="21" t="s">
        <v>611</v>
      </c>
      <c r="D398" s="1"/>
    </row>
    <row r="399" ht="33.75" customHeight="1">
      <c r="A399" s="1"/>
      <c r="B399" s="10" t="s">
        <v>9</v>
      </c>
      <c r="C399" s="21" t="s">
        <v>612</v>
      </c>
      <c r="D399" s="1"/>
    </row>
    <row r="400" ht="33.75" customHeight="1">
      <c r="A400" s="1"/>
      <c r="B400" s="10" t="s">
        <v>11</v>
      </c>
      <c r="C400" s="21" t="s">
        <v>613</v>
      </c>
      <c r="D400" s="1"/>
    </row>
    <row r="401" ht="42.0" customHeight="1">
      <c r="A401" s="1"/>
      <c r="B401" s="12" t="s">
        <v>13</v>
      </c>
      <c r="C401" s="13"/>
      <c r="D401" s="1"/>
    </row>
    <row r="402" ht="39.75" customHeight="1">
      <c r="A402" s="1"/>
      <c r="B402" s="14" t="s">
        <v>14</v>
      </c>
      <c r="C402" s="15" t="str">
        <f>IF(C401="","← A〜D を選択してください",IF(C401="B","✅ 正解！ 素晴らしいです！","❌ 不正解... 正解は B です！"))</f>
        <v>← A〜D を選択してください</v>
      </c>
      <c r="D402" s="1"/>
    </row>
    <row r="403" ht="79.5" customHeight="1">
      <c r="A403" s="1"/>
      <c r="B403" s="16" t="s">
        <v>15</v>
      </c>
      <c r="C403" s="17" t="str">
        <f>IF(C401="","回答を選択すると解説が表示されます","正解はBです。
NMS（Network Management System）はSNMPなどのプロトコルを使用して、複数のルーター・スイッチ・サーバーのステータス監視・設定変更・パフォーマンス管理を一元的に行うシステムです。
Cisco DNA CenterやSolarWindsなどが例として挙げられます。")</f>
        <v>回答を選択すると解説が表示されます</v>
      </c>
      <c r="D403" s="1"/>
    </row>
    <row r="404" ht="15.75" customHeight="1">
      <c r="A404" s="1"/>
      <c r="B404" s="1"/>
      <c r="C404" s="1"/>
      <c r="D404" s="1"/>
    </row>
    <row r="405" ht="27.75" customHeight="1">
      <c r="A405" s="1"/>
      <c r="B405" s="8" t="s">
        <v>237</v>
      </c>
      <c r="C405" s="7"/>
      <c r="D405" s="1"/>
    </row>
    <row r="406" ht="57.75" customHeight="1">
      <c r="A406" s="1"/>
      <c r="B406" s="20" t="s">
        <v>614</v>
      </c>
      <c r="C406" s="7"/>
      <c r="D406" s="1"/>
    </row>
    <row r="407" ht="33.75" customHeight="1">
      <c r="A407" s="1"/>
      <c r="B407" s="10" t="s">
        <v>5</v>
      </c>
      <c r="C407" s="11" t="s">
        <v>615</v>
      </c>
      <c r="D407" s="1"/>
    </row>
    <row r="408" ht="33.75" customHeight="1">
      <c r="A408" s="1"/>
      <c r="B408" s="10" t="s">
        <v>7</v>
      </c>
      <c r="C408" s="21" t="s">
        <v>616</v>
      </c>
      <c r="D408" s="1"/>
    </row>
    <row r="409" ht="33.75" customHeight="1">
      <c r="A409" s="1"/>
      <c r="B409" s="10" t="s">
        <v>9</v>
      </c>
      <c r="C409" s="21" t="s">
        <v>617</v>
      </c>
      <c r="D409" s="1"/>
    </row>
    <row r="410" ht="33.75" customHeight="1">
      <c r="A410" s="1"/>
      <c r="B410" s="10" t="s">
        <v>11</v>
      </c>
      <c r="C410" s="21" t="s">
        <v>618</v>
      </c>
      <c r="D410" s="1"/>
    </row>
    <row r="411" ht="42.0" customHeight="1">
      <c r="A411" s="1"/>
      <c r="B411" s="12" t="s">
        <v>13</v>
      </c>
      <c r="C411" s="13"/>
      <c r="D411" s="1"/>
    </row>
    <row r="412" ht="39.75" customHeight="1">
      <c r="A412" s="1"/>
      <c r="B412" s="14" t="s">
        <v>14</v>
      </c>
      <c r="C412" s="15" t="str">
        <f>IF(C411="","← A〜D を選択してください",IF(C411="B","✅ 正解！ 素晴らしいです！","❌ 不正解... 正解は B です！"))</f>
        <v>← A〜D を選択してください</v>
      </c>
      <c r="D412" s="1"/>
    </row>
    <row r="413" ht="79.5" customHeight="1">
      <c r="A413" s="1"/>
      <c r="B413" s="16" t="s">
        <v>15</v>
      </c>
      <c r="C413" s="17" t="str">
        <f>IF(C411="","回答を選択すると解説が表示されます","正解はBです。
パスワードの複雑さの要件として、一般的に大文字・小文字・数字・特殊文字（!@#$%など）を組み合わせた8文字以上が推奨されます。
推測されにくく、辞書攻撃やブルートフォース攻撃への耐性が高まります。")</f>
        <v>回答を選択すると解説が表示されます</v>
      </c>
      <c r="D413" s="1"/>
    </row>
    <row r="414" ht="15.75" customHeight="1">
      <c r="A414" s="1"/>
      <c r="B414" s="1"/>
      <c r="C414" s="1"/>
      <c r="D414" s="1"/>
    </row>
    <row r="415" ht="27.75" customHeight="1">
      <c r="A415" s="1"/>
      <c r="B415" s="8" t="s">
        <v>241</v>
      </c>
      <c r="C415" s="7"/>
      <c r="D415" s="1"/>
    </row>
    <row r="416" ht="57.75" customHeight="1">
      <c r="A416" s="1"/>
      <c r="B416" s="20" t="s">
        <v>619</v>
      </c>
      <c r="C416" s="7"/>
      <c r="D416" s="1"/>
    </row>
    <row r="417" ht="33.75" customHeight="1">
      <c r="A417" s="1"/>
      <c r="B417" s="10" t="s">
        <v>5</v>
      </c>
      <c r="C417" s="11" t="s">
        <v>620</v>
      </c>
      <c r="D417" s="1"/>
    </row>
    <row r="418" ht="33.75" customHeight="1">
      <c r="A418" s="1"/>
      <c r="B418" s="10" t="s">
        <v>7</v>
      </c>
      <c r="C418" s="21" t="s">
        <v>621</v>
      </c>
      <c r="D418" s="1"/>
    </row>
    <row r="419" ht="33.75" customHeight="1">
      <c r="A419" s="1"/>
      <c r="B419" s="10" t="s">
        <v>9</v>
      </c>
      <c r="C419" s="21" t="s">
        <v>622</v>
      </c>
      <c r="D419" s="1"/>
    </row>
    <row r="420" ht="33.75" customHeight="1">
      <c r="A420" s="1"/>
      <c r="B420" s="10" t="s">
        <v>11</v>
      </c>
      <c r="C420" s="11" t="s">
        <v>623</v>
      </c>
      <c r="D420" s="1"/>
    </row>
    <row r="421" ht="42.0" customHeight="1">
      <c r="A421" s="1"/>
      <c r="B421" s="12" t="s">
        <v>13</v>
      </c>
      <c r="C421" s="13"/>
      <c r="D421" s="1"/>
    </row>
    <row r="422" ht="39.75" customHeight="1">
      <c r="A422" s="1"/>
      <c r="B422" s="14" t="s">
        <v>14</v>
      </c>
      <c r="C422" s="15" t="str">
        <f>IF(C421="","← A〜D を選択してください",IF(C421="B","✅ 正解！ 素晴らしいです！","❌ 不正解... 正解は B です！"))</f>
        <v>← A〜D を選択してください</v>
      </c>
      <c r="D422" s="1"/>
    </row>
    <row r="423" ht="79.5" customHeight="1">
      <c r="A423" s="1"/>
      <c r="B423" s="16" t="s">
        <v>15</v>
      </c>
      <c r="C423" s="17" t="str">
        <f>IF(C421="","回答を選択すると解説が表示されます","正解はBです。
pingはICMPプロトコルを使用して、ネットワーク層（Layer 3）レベルでの疎通確認を行います。
pingが成功してもTCP接続やアプリケーションサービスが正常とは限りません。ファイアウォールがICMPをブロックしている場合、pingが失敗してもHTTP通信が成功することもあります。")</f>
        <v>回答を選択すると解説が表示されます</v>
      </c>
      <c r="D423" s="1"/>
    </row>
    <row r="424" ht="15.75" customHeight="1">
      <c r="A424" s="1"/>
      <c r="B424" s="1"/>
      <c r="C424" s="1"/>
      <c r="D424" s="1"/>
    </row>
    <row r="425" ht="27.75" customHeight="1">
      <c r="A425" s="1"/>
      <c r="B425" s="8" t="s">
        <v>247</v>
      </c>
      <c r="C425" s="7"/>
      <c r="D425" s="1"/>
    </row>
    <row r="426" ht="57.75" customHeight="1">
      <c r="A426" s="1"/>
      <c r="B426" s="9" t="s">
        <v>624</v>
      </c>
      <c r="C426" s="7"/>
      <c r="D426" s="1"/>
    </row>
    <row r="427" ht="33.75" customHeight="1">
      <c r="A427" s="1"/>
      <c r="B427" s="10" t="s">
        <v>5</v>
      </c>
      <c r="C427" s="11" t="s">
        <v>625</v>
      </c>
      <c r="D427" s="1"/>
    </row>
    <row r="428" ht="33.75" customHeight="1">
      <c r="A428" s="1"/>
      <c r="B428" s="10" t="s">
        <v>7</v>
      </c>
      <c r="C428" s="11" t="s">
        <v>626</v>
      </c>
      <c r="D428" s="1"/>
    </row>
    <row r="429" ht="33.75" customHeight="1">
      <c r="A429" s="1"/>
      <c r="B429" s="10" t="s">
        <v>9</v>
      </c>
      <c r="C429" s="11" t="s">
        <v>627</v>
      </c>
      <c r="D429" s="1"/>
    </row>
    <row r="430" ht="33.75" customHeight="1">
      <c r="A430" s="1"/>
      <c r="B430" s="10" t="s">
        <v>11</v>
      </c>
      <c r="C430" s="11" t="s">
        <v>628</v>
      </c>
      <c r="D430" s="1"/>
    </row>
    <row r="431" ht="42.0" customHeight="1">
      <c r="A431" s="1"/>
      <c r="B431" s="12" t="s">
        <v>13</v>
      </c>
      <c r="C431" s="13"/>
      <c r="D431" s="1"/>
    </row>
    <row r="432" ht="39.75" customHeight="1">
      <c r="A432" s="1"/>
      <c r="B432" s="14" t="s">
        <v>14</v>
      </c>
      <c r="C432" s="15" t="str">
        <f>IF(C431="","← A〜D を選択してください",IF(C431="C","✅ 正解！ 素晴らしいです！","❌ 不正解... 正解は C です！"))</f>
        <v>← A〜D を選択してください</v>
      </c>
      <c r="D432" s="1"/>
    </row>
    <row r="433" ht="120.0" customHeight="1">
      <c r="A433" s="1"/>
      <c r="B433" s="16" t="s">
        <v>15</v>
      </c>
      <c r="C433" s="17" t="str">
        <f>IF(C431="","回答を選択すると解説が表示されます","正解はCです。
IPv4アドレスのクラスとデフォルトサブネットマスクは以下の通りです。
・クラスA（1〜126）：255.0.0.0（/8）
・クラスB（128〜191）：255.255.0.0（/16）
・クラスC（192〜223）：255.255.255.0（/24）")</f>
        <v>回答を選択すると解説が表示されます</v>
      </c>
      <c r="D433" s="1"/>
    </row>
    <row r="434" ht="15.75" customHeight="1">
      <c r="A434" s="1"/>
      <c r="B434" s="1"/>
      <c r="C434" s="1"/>
      <c r="D434" s="1"/>
    </row>
    <row r="435" ht="27.75" customHeight="1">
      <c r="A435" s="1"/>
      <c r="B435" s="8" t="s">
        <v>251</v>
      </c>
      <c r="C435" s="7"/>
      <c r="D435" s="1"/>
    </row>
    <row r="436" ht="57.75" customHeight="1">
      <c r="A436" s="1"/>
      <c r="B436" s="20" t="s">
        <v>629</v>
      </c>
      <c r="C436" s="7"/>
      <c r="D436" s="1"/>
    </row>
    <row r="437" ht="33.75" customHeight="1">
      <c r="A437" s="1"/>
      <c r="B437" s="10" t="s">
        <v>5</v>
      </c>
      <c r="C437" s="21" t="s">
        <v>630</v>
      </c>
      <c r="D437" s="1"/>
    </row>
    <row r="438" ht="33.75" customHeight="1">
      <c r="A438" s="1"/>
      <c r="B438" s="10" t="s">
        <v>7</v>
      </c>
      <c r="C438" s="21" t="s">
        <v>631</v>
      </c>
      <c r="D438" s="1"/>
    </row>
    <row r="439" ht="33.75" customHeight="1">
      <c r="A439" s="1"/>
      <c r="B439" s="10" t="s">
        <v>9</v>
      </c>
      <c r="C439" s="21" t="s">
        <v>632</v>
      </c>
      <c r="D439" s="1"/>
    </row>
    <row r="440" ht="33.75" customHeight="1">
      <c r="A440" s="1"/>
      <c r="B440" s="10" t="s">
        <v>11</v>
      </c>
      <c r="C440" s="11" t="s">
        <v>633</v>
      </c>
      <c r="D440" s="1"/>
    </row>
    <row r="441" ht="42.0" customHeight="1">
      <c r="A441" s="1"/>
      <c r="B441" s="12" t="s">
        <v>13</v>
      </c>
      <c r="C441" s="13"/>
      <c r="D441" s="1"/>
    </row>
    <row r="442" ht="39.75" customHeight="1">
      <c r="A442" s="1"/>
      <c r="B442" s="14" t="s">
        <v>14</v>
      </c>
      <c r="C442" s="15" t="str">
        <f>IF(C441="","← A〜D を選択してください",IF(C441="B","✅ 正解！ 素晴らしいです！","❌ 不正解... 正解は B です！"))</f>
        <v>← A〜D を選択してください</v>
      </c>
      <c r="D442" s="1"/>
    </row>
    <row r="443" ht="79.5" customHeight="1">
      <c r="A443" s="1"/>
      <c r="B443" s="16" t="s">
        <v>15</v>
      </c>
      <c r="C443" s="17" t="str">
        <f>IF(C441="","回答を選択すると解説が表示されます","正解はBです。
ブロードキャストドメインはブロードキャストパケットが届く範囲です。スイッチはブロードキャストを同一VLAN内の全ポートに転送しますが、ルーターはブロードキャストを通過させません。
VLANを使うとブロードキャストドメインを論理的に分割できます。")</f>
        <v>回答を選択すると解説が表示されます</v>
      </c>
      <c r="D443" s="1"/>
    </row>
    <row r="444" ht="15.75" customHeight="1">
      <c r="A444" s="1"/>
      <c r="B444" s="1"/>
      <c r="C444" s="1"/>
      <c r="D444" s="1"/>
    </row>
    <row r="445" ht="27.75" customHeight="1">
      <c r="A445" s="1"/>
      <c r="B445" s="8" t="s">
        <v>254</v>
      </c>
      <c r="C445" s="7"/>
      <c r="D445" s="1"/>
    </row>
    <row r="446" ht="57.75" customHeight="1">
      <c r="A446" s="1"/>
      <c r="B446" s="9" t="s">
        <v>634</v>
      </c>
      <c r="C446" s="7"/>
      <c r="D446" s="1"/>
    </row>
    <row r="447" ht="33.75" customHeight="1">
      <c r="A447" s="1"/>
      <c r="B447" s="10" t="s">
        <v>5</v>
      </c>
      <c r="C447" s="11" t="s">
        <v>635</v>
      </c>
      <c r="D447" s="1"/>
    </row>
    <row r="448" ht="33.75" customHeight="1">
      <c r="A448" s="1"/>
      <c r="B448" s="10" t="s">
        <v>7</v>
      </c>
      <c r="C448" s="11" t="s">
        <v>636</v>
      </c>
      <c r="D448" s="1"/>
    </row>
    <row r="449" ht="33.75" customHeight="1">
      <c r="A449" s="1"/>
      <c r="B449" s="10" t="s">
        <v>9</v>
      </c>
      <c r="C449" s="11" t="s">
        <v>203</v>
      </c>
      <c r="D449" s="1"/>
    </row>
    <row r="450" ht="33.75" customHeight="1">
      <c r="A450" s="1"/>
      <c r="B450" s="10" t="s">
        <v>11</v>
      </c>
      <c r="C450" s="11" t="s">
        <v>637</v>
      </c>
      <c r="D450" s="1"/>
    </row>
    <row r="451" ht="42.0" customHeight="1">
      <c r="A451" s="1"/>
      <c r="B451" s="12" t="s">
        <v>13</v>
      </c>
      <c r="C451" s="13"/>
      <c r="D451" s="1"/>
    </row>
    <row r="452" ht="39.75" customHeight="1">
      <c r="A452" s="1"/>
      <c r="B452" s="14" t="s">
        <v>14</v>
      </c>
      <c r="C452" s="15" t="str">
        <f>IF(C451="","← A〜D を選択してください",IF(C451="B","✅ 正解！ 素晴らしいです！","❌ 不正解... 正解は B です！"))</f>
        <v>← A〜D を選択してください</v>
      </c>
      <c r="D452" s="1"/>
    </row>
    <row r="453" ht="79.5" customHeight="1">
      <c r="A453" s="1"/>
      <c r="B453" s="16" t="s">
        <v>15</v>
      </c>
      <c r="C453" s="17" t="str">
        <f>IF(C451="","回答を選択すると解説が表示されます","正解はBです。
Ciscoルーターで現在の動作設定（running-config）をNVRAMの起動時設定（startup-config）に保存するコマンドはcopy running-config startup-configです。
略して write memory（wr）と入力することもできます。")</f>
        <v>回答を選択すると解説が表示されます</v>
      </c>
      <c r="D453" s="1"/>
    </row>
    <row r="454" ht="15.75" customHeight="1">
      <c r="A454" s="1"/>
      <c r="B454" s="1"/>
      <c r="C454" s="1"/>
      <c r="D454" s="1"/>
    </row>
    <row r="455" ht="27.75" customHeight="1">
      <c r="A455" s="1"/>
      <c r="B455" s="8" t="s">
        <v>260</v>
      </c>
      <c r="C455" s="7"/>
      <c r="D455" s="1"/>
    </row>
    <row r="456" ht="57.75" customHeight="1">
      <c r="A456" s="1"/>
      <c r="B456" s="20" t="s">
        <v>638</v>
      </c>
      <c r="C456" s="7"/>
      <c r="D456" s="1"/>
    </row>
    <row r="457" ht="33.75" customHeight="1">
      <c r="A457" s="1"/>
      <c r="B457" s="10" t="s">
        <v>5</v>
      </c>
      <c r="C457" s="21" t="s">
        <v>639</v>
      </c>
      <c r="D457" s="1"/>
    </row>
    <row r="458" ht="33.75" customHeight="1">
      <c r="A458" s="1"/>
      <c r="B458" s="10" t="s">
        <v>7</v>
      </c>
      <c r="C458" s="11" t="s">
        <v>640</v>
      </c>
      <c r="D458" s="1"/>
    </row>
    <row r="459" ht="33.75" customHeight="1">
      <c r="A459" s="1"/>
      <c r="B459" s="10" t="s">
        <v>9</v>
      </c>
      <c r="C459" s="11" t="s">
        <v>641</v>
      </c>
      <c r="D459" s="1"/>
    </row>
    <row r="460" ht="33.75" customHeight="1">
      <c r="A460" s="1"/>
      <c r="B460" s="10" t="s">
        <v>11</v>
      </c>
      <c r="C460" s="11" t="s">
        <v>642</v>
      </c>
      <c r="D460" s="1"/>
    </row>
    <row r="461" ht="42.0" customHeight="1">
      <c r="A461" s="1"/>
      <c r="B461" s="12" t="s">
        <v>13</v>
      </c>
      <c r="C461" s="13"/>
      <c r="D461" s="1"/>
    </row>
    <row r="462" ht="39.75" customHeight="1">
      <c r="A462" s="1"/>
      <c r="B462" s="14" t="s">
        <v>14</v>
      </c>
      <c r="C462" s="15" t="str">
        <f>IF(C461="","← A〜D を選択してください",IF(C461="B","✅ 正解！ 素晴らしいです！","❌ 不正解... 正解は B です！"))</f>
        <v>← A〜D を選択してください</v>
      </c>
      <c r="D462" s="1"/>
    </row>
    <row r="463" ht="79.5" customHeight="1">
      <c r="A463" s="1"/>
      <c r="B463" s="16" t="s">
        <v>15</v>
      </c>
      <c r="C463" s="17" t="str">
        <f>IF(C461="","回答を選択すると解説が表示されます","正解はBです。
show cdp neighborsは基本的なネイバー情報（Device ID・Local Interface・Holdtime・Capability・Platform・Port ID）を表示します。
show cdp neighbors detailを実行するとネイバーのIPアドレス・IOSバージョンなどの詳細情報も追加で表示されます。")</f>
        <v>回答を選択すると解説が表示されます</v>
      </c>
      <c r="D463" s="1"/>
    </row>
    <row r="464" ht="15.75" customHeight="1">
      <c r="A464" s="1"/>
      <c r="B464" s="1"/>
      <c r="C464" s="1"/>
      <c r="D464" s="1"/>
    </row>
    <row r="465" ht="27.75" customHeight="1">
      <c r="A465" s="1"/>
      <c r="B465" s="8" t="s">
        <v>266</v>
      </c>
      <c r="C465" s="7"/>
      <c r="D465" s="1"/>
    </row>
    <row r="466" ht="57.75" customHeight="1">
      <c r="A466" s="1"/>
      <c r="B466" s="20" t="s">
        <v>643</v>
      </c>
      <c r="C466" s="7"/>
      <c r="D466" s="1"/>
    </row>
    <row r="467" ht="33.75" customHeight="1">
      <c r="A467" s="1"/>
      <c r="B467" s="10" t="s">
        <v>5</v>
      </c>
      <c r="C467" s="11" t="s">
        <v>413</v>
      </c>
      <c r="D467" s="1"/>
    </row>
    <row r="468" ht="33.75" customHeight="1">
      <c r="A468" s="1"/>
      <c r="B468" s="10" t="s">
        <v>7</v>
      </c>
      <c r="C468" s="11" t="s">
        <v>644</v>
      </c>
      <c r="D468" s="1"/>
    </row>
    <row r="469" ht="33.75" customHeight="1">
      <c r="A469" s="1"/>
      <c r="B469" s="10" t="s">
        <v>9</v>
      </c>
      <c r="C469" s="11" t="s">
        <v>414</v>
      </c>
      <c r="D469" s="1"/>
    </row>
    <row r="470" ht="33.75" customHeight="1">
      <c r="A470" s="1"/>
      <c r="B470" s="10" t="s">
        <v>11</v>
      </c>
      <c r="C470" s="11" t="s">
        <v>21</v>
      </c>
      <c r="D470" s="1"/>
    </row>
    <row r="471" ht="42.0" customHeight="1">
      <c r="A471" s="1"/>
      <c r="B471" s="12" t="s">
        <v>13</v>
      </c>
      <c r="C471" s="13"/>
      <c r="D471" s="1"/>
    </row>
    <row r="472" ht="39.75" customHeight="1">
      <c r="A472" s="1"/>
      <c r="B472" s="14" t="s">
        <v>14</v>
      </c>
      <c r="C472" s="15" t="str">
        <f>IF(C471="","← A〜D を選択してください",IF(C471="B","✅ 正解！ 素晴らしいです！","❌ 不正解... 正解は B です！"))</f>
        <v>← A〜D を選択してください</v>
      </c>
      <c r="D472" s="1"/>
    </row>
    <row r="473" ht="79.5" customHeight="1">
      <c r="A473" s="1"/>
      <c r="B473" s="16" t="s">
        <v>15</v>
      </c>
      <c r="C473" s="17" t="str">
        <f>IF(C471="","回答を選択すると解説が表示されます","正解はBです。
ネットワーク障害のトラブルシューティングでは、まずpingで宛先への疎通確認を行い、届かない場合はtracert/tracerouteでどのホップで詰まっているかを確認するのが基本手順です。
問題の切り分けを段階的に行うことが重要です。")</f>
        <v>回答を選択すると解説が表示されます</v>
      </c>
      <c r="D473" s="1"/>
    </row>
    <row r="474" ht="15.75" customHeight="1">
      <c r="A474" s="1"/>
      <c r="B474" s="1"/>
      <c r="C474" s="1"/>
      <c r="D474" s="1"/>
    </row>
    <row r="475" ht="27.75" customHeight="1">
      <c r="A475" s="1"/>
      <c r="B475" s="8" t="s">
        <v>272</v>
      </c>
      <c r="C475" s="7"/>
      <c r="D475" s="1"/>
    </row>
    <row r="476" ht="57.75" customHeight="1">
      <c r="A476" s="1"/>
      <c r="B476" s="9" t="s">
        <v>645</v>
      </c>
      <c r="C476" s="7"/>
      <c r="D476" s="1"/>
    </row>
    <row r="477" ht="33.75" customHeight="1">
      <c r="A477" s="1"/>
      <c r="B477" s="10" t="s">
        <v>5</v>
      </c>
      <c r="C477" s="21" t="s">
        <v>646</v>
      </c>
      <c r="D477" s="1"/>
    </row>
    <row r="478" ht="33.75" customHeight="1">
      <c r="A478" s="1"/>
      <c r="B478" s="10" t="s">
        <v>7</v>
      </c>
      <c r="C478" s="21" t="s">
        <v>647</v>
      </c>
      <c r="D478" s="1"/>
    </row>
    <row r="479" ht="33.75" customHeight="1">
      <c r="A479" s="1"/>
      <c r="B479" s="10" t="s">
        <v>9</v>
      </c>
      <c r="C479" s="21" t="s">
        <v>648</v>
      </c>
      <c r="D479" s="1"/>
    </row>
    <row r="480" ht="33.75" customHeight="1">
      <c r="A480" s="1"/>
      <c r="B480" s="10" t="s">
        <v>11</v>
      </c>
      <c r="C480" s="21" t="s">
        <v>649</v>
      </c>
      <c r="D480" s="1"/>
    </row>
    <row r="481" ht="42.0" customHeight="1">
      <c r="A481" s="1"/>
      <c r="B481" s="12" t="s">
        <v>13</v>
      </c>
      <c r="C481" s="13"/>
      <c r="D481" s="1"/>
    </row>
    <row r="482" ht="39.75" customHeight="1">
      <c r="A482" s="1"/>
      <c r="B482" s="14" t="s">
        <v>14</v>
      </c>
      <c r="C482" s="15" t="str">
        <f>IF(C481="","← A〜D を選択してください",IF(C481="B","✅ 正解！ 素晴らしいです！","❌ 不正解... 正解は B です！"))</f>
        <v>← A〜D を選択してください</v>
      </c>
      <c r="D482" s="1"/>
    </row>
    <row r="483" ht="79.5" customHeight="1">
      <c r="A483" s="1"/>
      <c r="B483" s="16" t="s">
        <v>15</v>
      </c>
      <c r="C483" s="17" t="str">
        <f>IF(C481="","回答を選択すると解説が表示されます","正解はBです。
アクセスポートは1つのVLANのみのトラフィックを通過させ、PCや電話など一般的なエンドデバイスを接続するポートです。
トランクポートは802.1qタグを使用して複数のVLANのトラフィックを通過させ、スイッチ間やスイッチ−ルーター間の接続に使用します。")</f>
        <v>回答を選択すると解説が表示されます</v>
      </c>
      <c r="D483" s="1"/>
    </row>
    <row r="484" ht="15.75" customHeight="1">
      <c r="A484" s="1"/>
      <c r="B484" s="1"/>
      <c r="C484" s="1"/>
      <c r="D484" s="1"/>
    </row>
    <row r="485" ht="27.75" customHeight="1">
      <c r="A485" s="1"/>
      <c r="B485" s="8" t="s">
        <v>278</v>
      </c>
      <c r="C485" s="7"/>
      <c r="D485" s="1"/>
    </row>
    <row r="486" ht="57.75" customHeight="1">
      <c r="A486" s="1"/>
      <c r="B486" s="20" t="s">
        <v>650</v>
      </c>
      <c r="C486" s="7"/>
      <c r="D486" s="1"/>
    </row>
    <row r="487" ht="33.75" customHeight="1">
      <c r="A487" s="1"/>
      <c r="B487" s="10" t="s">
        <v>5</v>
      </c>
      <c r="C487" s="21" t="s">
        <v>283</v>
      </c>
      <c r="D487" s="1"/>
    </row>
    <row r="488" ht="33.75" customHeight="1">
      <c r="A488" s="1"/>
      <c r="B488" s="10" t="s">
        <v>7</v>
      </c>
      <c r="C488" s="21" t="s">
        <v>651</v>
      </c>
      <c r="D488" s="1"/>
    </row>
    <row r="489" ht="33.75" customHeight="1">
      <c r="A489" s="1"/>
      <c r="B489" s="10" t="s">
        <v>9</v>
      </c>
      <c r="C489" s="21" t="s">
        <v>652</v>
      </c>
      <c r="D489" s="1"/>
    </row>
    <row r="490" ht="33.75" customHeight="1">
      <c r="A490" s="1"/>
      <c r="B490" s="10" t="s">
        <v>11</v>
      </c>
      <c r="C490" s="21" t="s">
        <v>282</v>
      </c>
      <c r="D490" s="1"/>
    </row>
    <row r="491" ht="42.0" customHeight="1">
      <c r="A491" s="1"/>
      <c r="B491" s="12" t="s">
        <v>13</v>
      </c>
      <c r="C491" s="13"/>
      <c r="D491" s="1"/>
    </row>
    <row r="492" ht="39.75" customHeight="1">
      <c r="A492" s="1"/>
      <c r="B492" s="14" t="s">
        <v>14</v>
      </c>
      <c r="C492" s="15" t="str">
        <f>IF(C491="","← A〜D を選択してください",IF(C491="B","✅ 正解！ 素晴らしいです！","❌ 不正解... 正解は B です！"))</f>
        <v>← A〜D を選択してください</v>
      </c>
      <c r="D492" s="1"/>
    </row>
    <row r="493" ht="79.5" customHeight="1">
      <c r="A493" s="1"/>
      <c r="B493" s="16" t="s">
        <v>15</v>
      </c>
      <c r="C493" s="17" t="str">
        <f>IF(C491="","回答を選択すると解説が表示されます","正解はBです。
現代のネットワーク機器はAuto-MDIXをサポートしているため、ルーターとスイッチの接続にはストレートスルーケーブル（パッチケーブル）が一般的に使用されます。
Auto-MDIXがない古い機器の場合は異なる種類の機器間ではクロスケーブルが必要でした。")</f>
        <v>回答を選択すると解説が表示されます</v>
      </c>
      <c r="D493" s="1"/>
    </row>
    <row r="494" ht="15.75" customHeight="1">
      <c r="A494" s="1"/>
      <c r="B494" s="1"/>
      <c r="C494" s="1"/>
      <c r="D494" s="1"/>
    </row>
    <row r="495" ht="27.75" customHeight="1">
      <c r="A495" s="1"/>
      <c r="B495" s="8" t="s">
        <v>284</v>
      </c>
      <c r="C495" s="7"/>
      <c r="D495" s="1"/>
    </row>
    <row r="496" ht="57.75" customHeight="1">
      <c r="A496" s="1"/>
      <c r="B496" s="20" t="s">
        <v>653</v>
      </c>
      <c r="C496" s="7"/>
      <c r="D496" s="1"/>
    </row>
    <row r="497" ht="33.75" customHeight="1">
      <c r="A497" s="1"/>
      <c r="B497" s="10" t="s">
        <v>5</v>
      </c>
      <c r="C497" s="21" t="s">
        <v>654</v>
      </c>
      <c r="D497" s="1"/>
    </row>
    <row r="498" ht="33.75" customHeight="1">
      <c r="A498" s="1"/>
      <c r="B498" s="10" t="s">
        <v>7</v>
      </c>
      <c r="C498" s="21" t="s">
        <v>655</v>
      </c>
      <c r="D498" s="1"/>
    </row>
    <row r="499" ht="33.75" customHeight="1">
      <c r="A499" s="1"/>
      <c r="B499" s="10" t="s">
        <v>9</v>
      </c>
      <c r="C499" s="21" t="s">
        <v>656</v>
      </c>
      <c r="D499" s="1"/>
    </row>
    <row r="500" ht="33.75" customHeight="1">
      <c r="A500" s="1"/>
      <c r="B500" s="10" t="s">
        <v>11</v>
      </c>
      <c r="C500" s="21" t="s">
        <v>657</v>
      </c>
      <c r="D500" s="1"/>
    </row>
    <row r="501" ht="42.0" customHeight="1">
      <c r="A501" s="1"/>
      <c r="B501" s="12" t="s">
        <v>13</v>
      </c>
      <c r="C501" s="13"/>
      <c r="D501" s="1"/>
    </row>
    <row r="502" ht="39.75" customHeight="1">
      <c r="A502" s="1"/>
      <c r="B502" s="14" t="s">
        <v>14</v>
      </c>
      <c r="C502" s="15" t="str">
        <f>IF(C501="","← A〜D を選択してください",IF(C501="B","✅ 正解！ 素晴らしいです！","❌ 不正解... 正解は B です！"))</f>
        <v>← A〜D を選択してください</v>
      </c>
      <c r="D502" s="1"/>
    </row>
    <row r="503" ht="79.5" customHeight="1">
      <c r="A503" s="1"/>
      <c r="B503" s="16" t="s">
        <v>15</v>
      </c>
      <c r="C503" s="17" t="str">
        <f>IF(C501="","回答を選択すると解説が表示されます","正解はBです。
ネットワーク構成・変更履歴・トラブルシューティング手順などの文書化は、障害時の迅速な対応・担当者交代時の引き継ぎ・監査対応・計画的な変更管理を可能にします。
CCSTの試験範囲においても「正確で完全な文書情報」の重要性が強調されています。")</f>
        <v>回答を選択すると解説が表示されます</v>
      </c>
      <c r="D503" s="1"/>
    </row>
    <row r="504" ht="27.75" customHeight="1">
      <c r="A504" s="1"/>
      <c r="B504" s="24" t="s">
        <v>658</v>
      </c>
      <c r="C504" s="25"/>
      <c r="D504" s="1"/>
    </row>
    <row r="505" ht="18.0" customHeight="1">
      <c r="A505" s="1"/>
      <c r="B505" s="26" t="s">
        <v>659</v>
      </c>
      <c r="C505" s="27"/>
      <c r="D505" s="1"/>
    </row>
    <row r="506" ht="141.75" customHeight="1">
      <c r="A506" s="1"/>
      <c r="B506" s="28" t="s">
        <v>660</v>
      </c>
      <c r="C506" s="27"/>
      <c r="D506" s="1"/>
    </row>
    <row r="507" ht="57.75" customHeight="1">
      <c r="A507" s="1"/>
      <c r="B507" s="29" t="s">
        <v>661</v>
      </c>
      <c r="C507" s="25"/>
      <c r="D507" s="1"/>
    </row>
    <row r="508" ht="33.75" customHeight="1">
      <c r="A508" s="1"/>
      <c r="B508" s="30" t="s">
        <v>5</v>
      </c>
      <c r="C508" s="31" t="s">
        <v>662</v>
      </c>
      <c r="D508" s="1"/>
    </row>
    <row r="509" ht="33.75" customHeight="1">
      <c r="A509" s="1"/>
      <c r="B509" s="30" t="s">
        <v>7</v>
      </c>
      <c r="C509" s="31" t="s">
        <v>663</v>
      </c>
      <c r="D509" s="1"/>
    </row>
    <row r="510" ht="33.75" customHeight="1">
      <c r="A510" s="1"/>
      <c r="B510" s="30" t="s">
        <v>9</v>
      </c>
      <c r="C510" s="31" t="s">
        <v>664</v>
      </c>
      <c r="D510" s="1"/>
    </row>
    <row r="511" ht="33.75" customHeight="1">
      <c r="A511" s="1"/>
      <c r="B511" s="30" t="s">
        <v>11</v>
      </c>
      <c r="C511" s="31" t="s">
        <v>665</v>
      </c>
      <c r="D511" s="1"/>
    </row>
    <row r="512" ht="42.0" customHeight="1">
      <c r="A512" s="1"/>
      <c r="B512" s="32" t="s">
        <v>13</v>
      </c>
      <c r="C512" s="33"/>
      <c r="D512" s="1"/>
    </row>
    <row r="513" ht="39.75" customHeight="1">
      <c r="A513" s="1"/>
      <c r="B513" s="34" t="s">
        <v>14</v>
      </c>
      <c r="C513" s="35" t="str">
        <f>IF(C512="","← A〜D を選択してください",IF(C512="C","✅ 正解！ 素晴らしいです！","❌ 不正解... 正解は C です！"))</f>
        <v>← A〜D を選択してください</v>
      </c>
      <c r="D513" s="1"/>
    </row>
    <row r="514" ht="79.5" customHeight="1">
      <c r="A514" s="1"/>
      <c r="B514" s="36" t="s">
        <v>15</v>
      </c>
      <c r="C514" s="37" t="str">
        <f>IF(C512="","回答を選択すると解説が表示されます","正解はCです。
Status が「up」かつ Protocol が「up」のインターフェースが通信可能です。
GigabitEthernet0/1 は Protocol が「down」のため通信不可。
GigabitEthernet0/0、Serial0/0/0、Loopback0 の3つが通信可能です。")</f>
        <v>回答を選択すると解説が表示されます</v>
      </c>
      <c r="D514" s="1"/>
    </row>
    <row r="515" ht="15.75" customHeight="1">
      <c r="A515" s="1"/>
      <c r="B515" s="1"/>
      <c r="C515" s="1"/>
      <c r="D515" s="1"/>
    </row>
    <row r="516" ht="27.75" customHeight="1">
      <c r="A516" s="1"/>
      <c r="B516" s="24" t="s">
        <v>666</v>
      </c>
      <c r="C516" s="25"/>
      <c r="D516" s="1"/>
    </row>
    <row r="517" ht="18.0" customHeight="1">
      <c r="A517" s="1"/>
      <c r="B517" s="26" t="s">
        <v>667</v>
      </c>
      <c r="C517" s="27"/>
      <c r="D517" s="1"/>
    </row>
    <row r="518" ht="141.75" customHeight="1">
      <c r="A518" s="1"/>
      <c r="B518" s="28" t="s">
        <v>668</v>
      </c>
      <c r="C518" s="27"/>
      <c r="D518" s="1"/>
    </row>
    <row r="519" ht="57.75" customHeight="1">
      <c r="A519" s="1"/>
      <c r="B519" s="29" t="s">
        <v>669</v>
      </c>
      <c r="C519" s="25"/>
      <c r="D519" s="1"/>
    </row>
    <row r="520" ht="33.75" customHeight="1">
      <c r="A520" s="1"/>
      <c r="B520" s="30" t="s">
        <v>5</v>
      </c>
      <c r="C520" s="31" t="s">
        <v>670</v>
      </c>
      <c r="D520" s="1"/>
    </row>
    <row r="521" ht="33.75" customHeight="1">
      <c r="A521" s="1"/>
      <c r="B521" s="30" t="s">
        <v>7</v>
      </c>
      <c r="C521" s="31" t="s">
        <v>671</v>
      </c>
      <c r="D521" s="1"/>
    </row>
    <row r="522" ht="33.75" customHeight="1">
      <c r="A522" s="1"/>
      <c r="B522" s="30" t="s">
        <v>9</v>
      </c>
      <c r="C522" s="31" t="s">
        <v>672</v>
      </c>
      <c r="D522" s="1"/>
    </row>
    <row r="523" ht="33.75" customHeight="1">
      <c r="A523" s="1"/>
      <c r="B523" s="30" t="s">
        <v>11</v>
      </c>
      <c r="C523" s="31" t="s">
        <v>673</v>
      </c>
      <c r="D523" s="1"/>
    </row>
    <row r="524" ht="42.0" customHeight="1">
      <c r="A524" s="1"/>
      <c r="B524" s="32" t="s">
        <v>13</v>
      </c>
      <c r="C524" s="33"/>
      <c r="D524" s="1"/>
    </row>
    <row r="525" ht="39.75" customHeight="1">
      <c r="A525" s="1"/>
      <c r="B525" s="34" t="s">
        <v>14</v>
      </c>
      <c r="C525" s="35" t="str">
        <f>IF(C524="","← A〜D を選択してください",IF(C524="B","✅ 正解！ 素晴らしいです！","❌ 不正解... 正解は B です！"))</f>
        <v>← A〜D を選択してください</v>
      </c>
      <c r="D525" s="1"/>
    </row>
    <row r="526" ht="79.5" customHeight="1">
      <c r="A526" s="1"/>
      <c r="B526" s="36" t="s">
        <v>15</v>
      </c>
      <c r="C526" s="37" t="str">
        <f>IF(C524="","回答を選択すると解説が表示されます","正解はBです。
show vlan brief の出力で、Fa0/1 は VLAN 10（Sales）のポート一覧に含まれています。
VLAN 1 はデフォルト VLAN で Fa0/3〜5 が含まれます。")</f>
        <v>回答を選択すると解説が表示されます</v>
      </c>
      <c r="D526" s="1"/>
    </row>
    <row r="527" ht="15.75" customHeight="1">
      <c r="A527" s="1"/>
      <c r="B527" s="1"/>
      <c r="C527" s="1"/>
      <c r="D527" s="1"/>
    </row>
    <row r="528" ht="27.75" customHeight="1">
      <c r="A528" s="1"/>
      <c r="B528" s="24" t="s">
        <v>674</v>
      </c>
      <c r="C528" s="25"/>
      <c r="D528" s="1"/>
    </row>
    <row r="529" ht="18.0" customHeight="1">
      <c r="A529" s="1"/>
      <c r="B529" s="26" t="s">
        <v>675</v>
      </c>
      <c r="C529" s="27"/>
      <c r="D529" s="1"/>
    </row>
    <row r="530" ht="141.75" customHeight="1">
      <c r="A530" s="1"/>
      <c r="B530" s="28" t="s">
        <v>676</v>
      </c>
      <c r="C530" s="27"/>
      <c r="D530" s="1"/>
    </row>
    <row r="531" ht="57.75" customHeight="1">
      <c r="A531" s="1"/>
      <c r="B531" s="29" t="s">
        <v>677</v>
      </c>
      <c r="C531" s="25"/>
      <c r="D531" s="1"/>
    </row>
    <row r="532" ht="33.75" customHeight="1">
      <c r="A532" s="1"/>
      <c r="B532" s="30" t="s">
        <v>5</v>
      </c>
      <c r="C532" s="31" t="s">
        <v>678</v>
      </c>
      <c r="D532" s="1"/>
    </row>
    <row r="533" ht="33.75" customHeight="1">
      <c r="A533" s="1"/>
      <c r="B533" s="30" t="s">
        <v>7</v>
      </c>
      <c r="C533" s="31" t="s">
        <v>679</v>
      </c>
      <c r="D533" s="1"/>
    </row>
    <row r="534" ht="33.75" customHeight="1">
      <c r="A534" s="1"/>
      <c r="B534" s="30" t="s">
        <v>9</v>
      </c>
      <c r="C534" s="31" t="s">
        <v>680</v>
      </c>
      <c r="D534" s="1"/>
    </row>
    <row r="535" ht="33.75" customHeight="1">
      <c r="A535" s="1"/>
      <c r="B535" s="30" t="s">
        <v>11</v>
      </c>
      <c r="C535" s="31" t="s">
        <v>681</v>
      </c>
      <c r="D535" s="1"/>
    </row>
    <row r="536" ht="42.0" customHeight="1">
      <c r="A536" s="1"/>
      <c r="B536" s="32" t="s">
        <v>13</v>
      </c>
      <c r="C536" s="33"/>
      <c r="D536" s="1"/>
    </row>
    <row r="537" ht="39.75" customHeight="1">
      <c r="A537" s="1"/>
      <c r="B537" s="34" t="s">
        <v>14</v>
      </c>
      <c r="C537" s="35" t="str">
        <f>IF(C536="","← A〜D を選択してください",IF(C536="B","✅ 正解！ 素晴らしいです！","❌ 不正解... 正解は B です！"))</f>
        <v>← A〜D を選択してください</v>
      </c>
      <c r="D537" s="1"/>
    </row>
    <row r="538" ht="79.5" customHeight="1">
      <c r="A538" s="1"/>
      <c r="B538" s="36" t="s">
        <v>15</v>
      </c>
      <c r="C538" s="37" t="str">
        <f>IF(C536="","回答を選択すると解説が表示されます","正解はBです。
ACL「BLOCK_TELNET」はポート23（Telnet）宛の TCP を deny し、それ以外の IP は permit します。
この ACL は GigabitEthernet0/0 の「in（インバウンド）」方向に適用されているため、このインターフェースに入ってくる Telnet トラフィックのみブロックします。")</f>
        <v>回答を選択すると解説が表示されます</v>
      </c>
      <c r="D538" s="1"/>
    </row>
    <row r="539" ht="15.75" customHeight="1">
      <c r="A539" s="1"/>
      <c r="B539" s="1"/>
      <c r="C539" s="1"/>
      <c r="D539" s="1"/>
    </row>
    <row r="540" ht="27.75" customHeight="1">
      <c r="A540" s="1"/>
      <c r="B540" s="24" t="s">
        <v>682</v>
      </c>
      <c r="C540" s="25"/>
      <c r="D540" s="1"/>
    </row>
    <row r="541" ht="18.0" customHeight="1">
      <c r="A541" s="1"/>
      <c r="B541" s="26" t="s">
        <v>683</v>
      </c>
      <c r="C541" s="27"/>
      <c r="D541" s="1"/>
    </row>
    <row r="542" ht="141.75" customHeight="1">
      <c r="A542" s="1"/>
      <c r="B542" s="28" t="s">
        <v>684</v>
      </c>
      <c r="C542" s="27"/>
      <c r="D542" s="1"/>
    </row>
    <row r="543" ht="57.75" customHeight="1">
      <c r="A543" s="1"/>
      <c r="B543" s="29" t="s">
        <v>685</v>
      </c>
      <c r="C543" s="25"/>
      <c r="D543" s="1"/>
    </row>
    <row r="544" ht="33.75" customHeight="1">
      <c r="A544" s="1"/>
      <c r="B544" s="30" t="s">
        <v>5</v>
      </c>
      <c r="C544" s="31" t="s">
        <v>686</v>
      </c>
      <c r="D544" s="1"/>
    </row>
    <row r="545" ht="33.75" customHeight="1">
      <c r="A545" s="1"/>
      <c r="B545" s="30" t="s">
        <v>7</v>
      </c>
      <c r="C545" s="31" t="s">
        <v>687</v>
      </c>
      <c r="D545" s="1"/>
    </row>
    <row r="546" ht="33.75" customHeight="1">
      <c r="A546" s="1"/>
      <c r="B546" s="30" t="s">
        <v>9</v>
      </c>
      <c r="C546" s="31" t="s">
        <v>688</v>
      </c>
      <c r="D546" s="1"/>
    </row>
    <row r="547" ht="33.75" customHeight="1">
      <c r="A547" s="1"/>
      <c r="B547" s="30" t="s">
        <v>11</v>
      </c>
      <c r="C547" s="31" t="s">
        <v>689</v>
      </c>
      <c r="D547" s="1"/>
    </row>
    <row r="548" ht="42.0" customHeight="1">
      <c r="A548" s="1"/>
      <c r="B548" s="32" t="s">
        <v>13</v>
      </c>
      <c r="C548" s="33"/>
      <c r="D548" s="1"/>
    </row>
    <row r="549" ht="39.75" customHeight="1">
      <c r="A549" s="1"/>
      <c r="B549" s="34" t="s">
        <v>14</v>
      </c>
      <c r="C549" s="35" t="str">
        <f>IF(C548="","← A〜D を選択してください",IF(C548="C","✅ 正解！ 素晴らしいです！","❌ 不正解... 正解は C です！"))</f>
        <v>← A〜D を選択してください</v>
      </c>
      <c r="D549" s="1"/>
    </row>
    <row r="550" ht="79.5" customHeight="1">
      <c r="A550" s="1"/>
      <c r="B550" s="36" t="s">
        <v>15</v>
      </c>
      <c r="C550" s="37" t="str">
        <f>IF(C548="","回答を選択すると解説が表示されます","正解はCです。
4パケット中2パケットが応答し、2パケットがタイムアウト（50%ロス）。
最初の2回は成功しているためホストは存在しますが、ネットワークが不安定または断続的な問題があることを示しています。")</f>
        <v>回答を選択すると解説が表示されます</v>
      </c>
      <c r="D550" s="1"/>
    </row>
    <row r="551" ht="15.75" customHeight="1">
      <c r="A551" s="1"/>
      <c r="B551" s="1"/>
      <c r="C551" s="1"/>
      <c r="D551" s="1"/>
    </row>
    <row r="552" ht="27.75" customHeight="1">
      <c r="A552" s="1"/>
      <c r="B552" s="24" t="s">
        <v>690</v>
      </c>
      <c r="C552" s="25"/>
      <c r="D552" s="1"/>
    </row>
    <row r="553" ht="18.0" customHeight="1">
      <c r="A553" s="1"/>
      <c r="B553" s="26" t="s">
        <v>691</v>
      </c>
      <c r="C553" s="27"/>
      <c r="D553" s="1"/>
    </row>
    <row r="554" ht="141.75" customHeight="1">
      <c r="A554" s="1"/>
      <c r="B554" s="28" t="s">
        <v>692</v>
      </c>
      <c r="C554" s="27"/>
      <c r="D554" s="1"/>
    </row>
    <row r="555" ht="57.75" customHeight="1">
      <c r="A555" s="1"/>
      <c r="B555" s="29" t="s">
        <v>693</v>
      </c>
      <c r="C555" s="25"/>
      <c r="D555" s="1"/>
    </row>
    <row r="556" ht="33.75" customHeight="1">
      <c r="A556" s="1"/>
      <c r="B556" s="30" t="s">
        <v>5</v>
      </c>
      <c r="C556" s="31" t="s">
        <v>694</v>
      </c>
      <c r="D556" s="1"/>
    </row>
    <row r="557" ht="33.75" customHeight="1">
      <c r="A557" s="1"/>
      <c r="B557" s="30" t="s">
        <v>7</v>
      </c>
      <c r="C557" s="31" t="s">
        <v>695</v>
      </c>
      <c r="D557" s="1"/>
    </row>
    <row r="558" ht="33.75" customHeight="1">
      <c r="A558" s="1"/>
      <c r="B558" s="30" t="s">
        <v>9</v>
      </c>
      <c r="C558" s="31" t="s">
        <v>696</v>
      </c>
      <c r="D558" s="1"/>
    </row>
    <row r="559" ht="33.75" customHeight="1">
      <c r="A559" s="1"/>
      <c r="B559" s="30" t="s">
        <v>11</v>
      </c>
      <c r="C559" s="31" t="s">
        <v>697</v>
      </c>
      <c r="D559" s="1"/>
    </row>
    <row r="560" ht="42.0" customHeight="1">
      <c r="A560" s="1"/>
      <c r="B560" s="32" t="s">
        <v>13</v>
      </c>
      <c r="C560" s="33"/>
      <c r="D560" s="1"/>
    </row>
    <row r="561" ht="39.75" customHeight="1">
      <c r="A561" s="1"/>
      <c r="B561" s="34" t="s">
        <v>14</v>
      </c>
      <c r="C561" s="35" t="str">
        <f>IF(C560="","← A〜D を選択してください",IF(C560="D","✅ 正解！ 素晴らしいです！","❌ 不正解... 正解は D です！"))</f>
        <v>← A〜D を選択してください</v>
      </c>
      <c r="D561" s="1"/>
    </row>
    <row r="562" ht="79.5" customHeight="1">
      <c r="A562" s="1"/>
      <c r="B562" s="36" t="s">
        <v>15</v>
      </c>
      <c r="C562" s="37" t="str">
        <f>IF(C560="","回答を選択すると解説が表示されます","正解はDです。
PC-A（192.168.1.x）と Server（192.168.2.x）は異なるサブネットにあります。
異なるサブネット間の通信はルーターを経由する必要があります。
よって PC-A → SW1 → Router → SW2 → Server という経路になります。")</f>
        <v>回答を選択すると解説が表示されます</v>
      </c>
      <c r="D562" s="1"/>
    </row>
    <row r="563" ht="15.75" customHeight="1">
      <c r="A563" s="1"/>
      <c r="B563" s="1"/>
      <c r="C563" s="1"/>
      <c r="D563" s="1"/>
    </row>
    <row r="564" ht="27.75" customHeight="1">
      <c r="A564" s="1"/>
      <c r="B564" s="24" t="s">
        <v>698</v>
      </c>
      <c r="C564" s="25"/>
      <c r="D564" s="1"/>
    </row>
    <row r="565" ht="18.0" customHeight="1">
      <c r="A565" s="1"/>
      <c r="B565" s="26" t="s">
        <v>699</v>
      </c>
      <c r="C565" s="27"/>
      <c r="D565" s="1"/>
    </row>
    <row r="566" ht="141.75" customHeight="1">
      <c r="A566" s="1"/>
      <c r="B566" s="28" t="s">
        <v>700</v>
      </c>
      <c r="C566" s="27"/>
      <c r="D566" s="1"/>
    </row>
    <row r="567" ht="57.75" customHeight="1">
      <c r="A567" s="1"/>
      <c r="B567" s="29" t="s">
        <v>701</v>
      </c>
      <c r="C567" s="25"/>
      <c r="D567" s="1"/>
    </row>
    <row r="568" ht="33.75" customHeight="1">
      <c r="A568" s="1"/>
      <c r="B568" s="30" t="s">
        <v>5</v>
      </c>
      <c r="C568" s="31" t="s">
        <v>702</v>
      </c>
      <c r="D568" s="1"/>
    </row>
    <row r="569" ht="33.75" customHeight="1">
      <c r="A569" s="1"/>
      <c r="B569" s="30" t="s">
        <v>7</v>
      </c>
      <c r="C569" s="31" t="s">
        <v>703</v>
      </c>
      <c r="D569" s="1"/>
    </row>
    <row r="570" ht="33.75" customHeight="1">
      <c r="A570" s="1"/>
      <c r="B570" s="30" t="s">
        <v>9</v>
      </c>
      <c r="C570" s="31" t="s">
        <v>704</v>
      </c>
      <c r="D570" s="1"/>
    </row>
    <row r="571" ht="33.75" customHeight="1">
      <c r="A571" s="1"/>
      <c r="B571" s="30" t="s">
        <v>11</v>
      </c>
      <c r="C571" s="31" t="s">
        <v>705</v>
      </c>
      <c r="D571" s="1"/>
    </row>
    <row r="572" ht="42.0" customHeight="1">
      <c r="A572" s="1"/>
      <c r="B572" s="32" t="s">
        <v>13</v>
      </c>
      <c r="C572" s="33"/>
      <c r="D572" s="1"/>
    </row>
    <row r="573" ht="39.75" customHeight="1">
      <c r="A573" s="1"/>
      <c r="B573" s="34" t="s">
        <v>14</v>
      </c>
      <c r="C573" s="35" t="str">
        <f>IF(C572="","← A〜D を選択してください",IF(C572="B","✅ 正解！ 素晴らしいです！","❌ 不正解... 正解は B です！"))</f>
        <v>← A〜D を選択してください</v>
      </c>
      <c r="D573" s="1"/>
    </row>
    <row r="574" ht="79.5" customHeight="1">
      <c r="A574" s="1"/>
      <c r="B574" s="36" t="s">
        <v>15</v>
      </c>
      <c r="C574" s="37" t="str">
        <f>IF(C572="","回答を選択すると解説が表示されます","正解はBです。
Type が「STATIC」のエントリは管理者が手動で設定したものです。
aabb.cc77.8899 は STATIC のため手動設定エントリです。
他の DYNAMIC エントリはスイッチが自動的に学習したものです。")</f>
        <v>回答を選択すると解説が表示されます</v>
      </c>
      <c r="D574" s="1"/>
    </row>
    <row r="575" ht="15.75" customHeight="1">
      <c r="A575" s="1"/>
      <c r="B575" s="1"/>
      <c r="C575" s="1"/>
      <c r="D575" s="1"/>
    </row>
    <row r="576" ht="27.75" customHeight="1">
      <c r="A576" s="1"/>
      <c r="B576" s="24" t="s">
        <v>706</v>
      </c>
      <c r="C576" s="25"/>
      <c r="D576" s="1"/>
    </row>
    <row r="577" ht="18.0" customHeight="1">
      <c r="A577" s="1"/>
      <c r="B577" s="26" t="s">
        <v>707</v>
      </c>
      <c r="C577" s="27"/>
      <c r="D577" s="1"/>
    </row>
    <row r="578" ht="141.75" customHeight="1">
      <c r="A578" s="1"/>
      <c r="B578" s="28" t="s">
        <v>708</v>
      </c>
      <c r="C578" s="27"/>
      <c r="D578" s="1"/>
    </row>
    <row r="579" ht="57.75" customHeight="1">
      <c r="A579" s="1"/>
      <c r="B579" s="29" t="s">
        <v>709</v>
      </c>
      <c r="C579" s="25"/>
      <c r="D579" s="1"/>
    </row>
    <row r="580" ht="33.75" customHeight="1">
      <c r="A580" s="1"/>
      <c r="B580" s="30" t="s">
        <v>5</v>
      </c>
      <c r="C580" s="31" t="s">
        <v>710</v>
      </c>
      <c r="D580" s="1"/>
    </row>
    <row r="581" ht="33.75" customHeight="1">
      <c r="A581" s="1"/>
      <c r="B581" s="30" t="s">
        <v>7</v>
      </c>
      <c r="C581" s="31" t="s">
        <v>711</v>
      </c>
      <c r="D581" s="1"/>
    </row>
    <row r="582" ht="33.75" customHeight="1">
      <c r="A582" s="1"/>
      <c r="B582" s="30" t="s">
        <v>9</v>
      </c>
      <c r="C582" s="31" t="s">
        <v>712</v>
      </c>
      <c r="D582" s="1"/>
    </row>
    <row r="583" ht="33.75" customHeight="1">
      <c r="A583" s="1"/>
      <c r="B583" s="30" t="s">
        <v>11</v>
      </c>
      <c r="C583" s="31" t="s">
        <v>713</v>
      </c>
      <c r="D583" s="1"/>
    </row>
    <row r="584" ht="42.0" customHeight="1">
      <c r="A584" s="1"/>
      <c r="B584" s="32" t="s">
        <v>13</v>
      </c>
      <c r="C584" s="33"/>
      <c r="D584" s="1"/>
    </row>
    <row r="585" ht="39.75" customHeight="1">
      <c r="A585" s="1"/>
      <c r="B585" s="34" t="s">
        <v>14</v>
      </c>
      <c r="C585" s="35" t="str">
        <f>IF(C584="","← A〜D を選択してください",IF(C584="C","✅ 正解！ 素晴らしいです！","❌ 不正解... 正解は C です！"))</f>
        <v>← A〜D を選択してください</v>
      </c>
      <c r="D585" s="1"/>
    </row>
    <row r="586" ht="79.5" customHeight="1">
      <c r="A586" s="1"/>
      <c r="B586" s="36" t="s">
        <v>15</v>
      </c>
      <c r="C586" s="37" t="str">
        <f>IF(C584="","回答を選択すると解説が表示されます","正解はCです。
「This bridge is the root」と明示されているため、このスイッチが VLAN 1 のルートブリッジです。
すべてのインターフェースが Designated（Desg）/ Forwarding（FWD）状態なのもルートブリッジの特徴です。
プロトコルは「ieee」（IEEE 802.1D = 従来型 STP）です。")</f>
        <v>回答を選択すると解説が表示されます</v>
      </c>
      <c r="D586" s="1"/>
    </row>
    <row r="587" ht="15.75" customHeight="1">
      <c r="A587" s="1"/>
      <c r="B587" s="1"/>
      <c r="C587" s="1"/>
      <c r="D587" s="1"/>
    </row>
    <row r="588" ht="27.75" customHeight="1">
      <c r="A588" s="1"/>
      <c r="B588" s="24" t="s">
        <v>714</v>
      </c>
      <c r="C588" s="25"/>
      <c r="D588" s="1"/>
    </row>
    <row r="589" ht="18.0" customHeight="1">
      <c r="A589" s="1"/>
      <c r="B589" s="26" t="s">
        <v>715</v>
      </c>
      <c r="C589" s="27"/>
      <c r="D589" s="1"/>
    </row>
    <row r="590" ht="141.75" customHeight="1">
      <c r="A590" s="1"/>
      <c r="B590" s="28" t="s">
        <v>716</v>
      </c>
      <c r="C590" s="27"/>
      <c r="D590" s="1"/>
    </row>
    <row r="591" ht="57.75" customHeight="1">
      <c r="A591" s="1"/>
      <c r="B591" s="29" t="s">
        <v>717</v>
      </c>
      <c r="C591" s="25"/>
      <c r="D591" s="1"/>
    </row>
    <row r="592" ht="33.75" customHeight="1">
      <c r="A592" s="1"/>
      <c r="B592" s="30" t="s">
        <v>5</v>
      </c>
      <c r="C592" s="31" t="s">
        <v>718</v>
      </c>
      <c r="D592" s="1"/>
    </row>
    <row r="593" ht="33.75" customHeight="1">
      <c r="A593" s="1"/>
      <c r="B593" s="30" t="s">
        <v>7</v>
      </c>
      <c r="C593" s="31" t="s">
        <v>719</v>
      </c>
      <c r="D593" s="1"/>
    </row>
    <row r="594" ht="33.75" customHeight="1">
      <c r="A594" s="1"/>
      <c r="B594" s="30" t="s">
        <v>9</v>
      </c>
      <c r="C594" s="31" t="s">
        <v>720</v>
      </c>
      <c r="D594" s="1"/>
    </row>
    <row r="595" ht="33.75" customHeight="1">
      <c r="A595" s="1"/>
      <c r="B595" s="30" t="s">
        <v>11</v>
      </c>
      <c r="C595" s="31" t="s">
        <v>721</v>
      </c>
      <c r="D595" s="1"/>
    </row>
    <row r="596" ht="42.0" customHeight="1">
      <c r="A596" s="1"/>
      <c r="B596" s="32" t="s">
        <v>13</v>
      </c>
      <c r="C596" s="33"/>
      <c r="D596" s="1"/>
    </row>
    <row r="597" ht="39.75" customHeight="1">
      <c r="A597" s="1"/>
      <c r="B597" s="34" t="s">
        <v>14</v>
      </c>
      <c r="C597" s="35" t="str">
        <f>IF(C596="","← A〜D を選択してください",IF(C596="B","✅ 正解！ 素晴らしいです！","❌ 不正解... 正解は B です！"))</f>
        <v>← A〜D を選択してください</v>
      </c>
      <c r="D597" s="1"/>
    </row>
    <row r="598" ht="79.5" customHeight="1">
      <c r="A598" s="1"/>
      <c r="B598" s="36" t="s">
        <v>15</v>
      </c>
      <c r="C598" s="37" t="str">
        <f>IF(C596="","回答を選択すると解説が表示されます","正解はBです。
172.16.5.10 は 172.16.0.0/16 の範囲に含まれます。
ルーティングテーブルに「O 172.16.0.0/16 via 10.0.0.2」のエントリがあるため、ネクストホップ 10.0.0.2 を経由して GigabitEthernet0/1 から転送されます。")</f>
        <v>回答を選択すると解説が表示されます</v>
      </c>
      <c r="D598" s="1"/>
    </row>
    <row r="599" ht="15.75" customHeight="1">
      <c r="A599" s="1"/>
      <c r="B599" s="1"/>
      <c r="C599" s="1"/>
      <c r="D599" s="1"/>
    </row>
    <row r="600" ht="27.75" customHeight="1">
      <c r="A600" s="1"/>
      <c r="B600" s="24" t="s">
        <v>722</v>
      </c>
      <c r="C600" s="25"/>
      <c r="D600" s="1"/>
    </row>
    <row r="601" ht="18.0" customHeight="1">
      <c r="A601" s="1"/>
      <c r="B601" s="26" t="s">
        <v>723</v>
      </c>
      <c r="C601" s="27"/>
      <c r="D601" s="1"/>
    </row>
    <row r="602" ht="141.75" customHeight="1">
      <c r="A602" s="1"/>
      <c r="B602" s="28" t="s">
        <v>724</v>
      </c>
      <c r="C602" s="27"/>
      <c r="D602" s="1"/>
    </row>
    <row r="603" ht="57.75" customHeight="1">
      <c r="A603" s="1"/>
      <c r="B603" s="29" t="s">
        <v>725</v>
      </c>
      <c r="C603" s="25"/>
      <c r="D603" s="1"/>
    </row>
    <row r="604" ht="33.75" customHeight="1">
      <c r="A604" s="1"/>
      <c r="B604" s="30" t="s">
        <v>5</v>
      </c>
      <c r="C604" s="31" t="s">
        <v>726</v>
      </c>
      <c r="D604" s="1"/>
    </row>
    <row r="605" ht="33.75" customHeight="1">
      <c r="A605" s="1"/>
      <c r="B605" s="30" t="s">
        <v>7</v>
      </c>
      <c r="C605" s="31" t="s">
        <v>727</v>
      </c>
      <c r="D605" s="1"/>
    </row>
    <row r="606" ht="33.75" customHeight="1">
      <c r="A606" s="1"/>
      <c r="B606" s="30" t="s">
        <v>9</v>
      </c>
      <c r="C606" s="31" t="s">
        <v>728</v>
      </c>
      <c r="D606" s="1"/>
    </row>
    <row r="607" ht="33.75" customHeight="1">
      <c r="A607" s="1"/>
      <c r="B607" s="30" t="s">
        <v>11</v>
      </c>
      <c r="C607" s="31" t="s">
        <v>729</v>
      </c>
      <c r="D607" s="1"/>
    </row>
    <row r="608" ht="42.0" customHeight="1">
      <c r="A608" s="1"/>
      <c r="B608" s="32" t="s">
        <v>13</v>
      </c>
      <c r="C608" s="33"/>
      <c r="D608" s="1"/>
    </row>
    <row r="609" ht="39.75" customHeight="1">
      <c r="A609" s="1"/>
      <c r="B609" s="34" t="s">
        <v>14</v>
      </c>
      <c r="C609" s="35" t="str">
        <f>IF(C608="","← A〜D を選択してください",IF(C608="C","✅ 正解！ 素晴らしいです！","❌ 不正解... 正解は C です！"))</f>
        <v>← A〜D を選択してください</v>
      </c>
      <c r="D609" s="1"/>
    </row>
    <row r="610" ht="79.5" customHeight="1">
      <c r="A610" s="1"/>
      <c r="B610" s="36" t="s">
        <v>15</v>
      </c>
      <c r="C610" s="37" t="str">
        <f>IF(C608="","回答を選択すると解説が表示されます","正解はCです。
OSI モデルの Layer 3（ネットワーク層）では IP アドレスを使った論理的なアドレッシングが行われます。
PDU 名は「パケット」です。
Layer 2（フレーム）は MAC アドレス、Layer 4（セグメント）はポート番号を使用します。")</f>
        <v>回答を選択すると解説が表示されます</v>
      </c>
      <c r="D610" s="1"/>
    </row>
    <row r="611" ht="15.75" customHeight="1">
      <c r="A611" s="1"/>
      <c r="B611" s="1"/>
      <c r="C611" s="1"/>
      <c r="D611" s="1"/>
    </row>
    <row r="612" ht="27.75" customHeight="1">
      <c r="A612" s="1"/>
      <c r="B612" s="24" t="s">
        <v>730</v>
      </c>
      <c r="C612" s="25"/>
      <c r="D612" s="1"/>
    </row>
    <row r="613" ht="18.0" customHeight="1">
      <c r="A613" s="1"/>
      <c r="B613" s="26" t="s">
        <v>731</v>
      </c>
      <c r="C613" s="27"/>
      <c r="D613" s="1"/>
    </row>
    <row r="614" ht="141.75" customHeight="1">
      <c r="A614" s="1"/>
      <c r="B614" s="28" t="s">
        <v>732</v>
      </c>
      <c r="C614" s="27"/>
      <c r="D614" s="1"/>
    </row>
    <row r="615" ht="57.75" customHeight="1">
      <c r="A615" s="1"/>
      <c r="B615" s="29" t="s">
        <v>733</v>
      </c>
      <c r="C615" s="25"/>
      <c r="D615" s="1"/>
    </row>
    <row r="616" ht="33.75" customHeight="1">
      <c r="A616" s="1"/>
      <c r="B616" s="30" t="s">
        <v>5</v>
      </c>
      <c r="C616" s="31" t="s">
        <v>734</v>
      </c>
      <c r="D616" s="1"/>
    </row>
    <row r="617" ht="33.75" customHeight="1">
      <c r="A617" s="1"/>
      <c r="B617" s="30" t="s">
        <v>7</v>
      </c>
      <c r="C617" s="31" t="s">
        <v>735</v>
      </c>
      <c r="D617" s="1"/>
    </row>
    <row r="618" ht="33.75" customHeight="1">
      <c r="A618" s="1"/>
      <c r="B618" s="30" t="s">
        <v>9</v>
      </c>
      <c r="C618" s="31" t="s">
        <v>736</v>
      </c>
      <c r="D618" s="1"/>
    </row>
    <row r="619" ht="33.75" customHeight="1">
      <c r="A619" s="1"/>
      <c r="B619" s="30" t="s">
        <v>11</v>
      </c>
      <c r="C619" s="31" t="s">
        <v>737</v>
      </c>
      <c r="D619" s="1"/>
    </row>
    <row r="620" ht="42.0" customHeight="1">
      <c r="A620" s="1"/>
      <c r="B620" s="32" t="s">
        <v>13</v>
      </c>
      <c r="C620" s="33"/>
      <c r="D620" s="1"/>
    </row>
    <row r="621" ht="39.75" customHeight="1">
      <c r="A621" s="1"/>
      <c r="B621" s="34" t="s">
        <v>14</v>
      </c>
      <c r="C621" s="35" t="str">
        <f>IF(C620="","← A〜D を選択してください",IF(C620="B","✅ 正解！ 素晴らしいです！","❌ 不正解... 正解は B です！"))</f>
        <v>← A〜D を選択してください</v>
      </c>
      <c r="D621" s="1"/>
    </row>
    <row r="622" ht="79.5" customHeight="1">
      <c r="A622" s="1"/>
      <c r="B622" s="36" t="s">
        <v>15</v>
      </c>
      <c r="C622" s="37" t="str">
        <f>IF(C620="","回答を選択すると解説が表示されます","正解はBです。
show cdp neighbors detail の出力から、Router-A の Gi0/0 に接続されているのは「Switch-B」（Device ID）で、IP アドレスは「10.1.1.2」です。
プラットフォームは WS-C2960X（Ciscoスイッチ）で、接続先ポートは Switch-B の Gi0/1 です。")</f>
        <v>回答を選択すると解説が表示されます</v>
      </c>
      <c r="D622" s="1"/>
    </row>
    <row r="623" ht="15.75" customHeight="1">
      <c r="A623" s="1"/>
      <c r="B623" s="1"/>
      <c r="C623" s="1"/>
      <c r="D623" s="1"/>
    </row>
    <row r="624" ht="15.75" customHeight="1">
      <c r="A624" s="1"/>
      <c r="B624" s="1"/>
      <c r="C624" s="1"/>
      <c r="D624" s="1"/>
    </row>
    <row r="625" ht="15.75" customHeight="1">
      <c r="A625" s="1"/>
      <c r="B625" s="1"/>
      <c r="C625" s="1"/>
      <c r="D625" s="1"/>
    </row>
    <row r="626" ht="15.75" customHeight="1">
      <c r="A626" s="1"/>
      <c r="B626" s="1"/>
      <c r="C626" s="1"/>
      <c r="D626" s="1"/>
    </row>
    <row r="627" ht="15.75" customHeight="1">
      <c r="A627" s="1"/>
      <c r="B627" s="1"/>
      <c r="C627" s="1"/>
      <c r="D627" s="1"/>
    </row>
    <row r="628" ht="15.75" customHeight="1">
      <c r="A628" s="1"/>
      <c r="B628" s="1"/>
      <c r="C628" s="1"/>
      <c r="D628" s="1"/>
    </row>
    <row r="629" ht="15.75" customHeight="1">
      <c r="A629" s="1"/>
      <c r="B629" s="1"/>
      <c r="C629" s="1"/>
      <c r="D629" s="1"/>
    </row>
    <row r="630" ht="15.75" customHeight="1">
      <c r="A630" s="1"/>
      <c r="B630" s="1"/>
      <c r="C630" s="1"/>
      <c r="D630" s="1"/>
    </row>
    <row r="631" ht="15.75" customHeight="1">
      <c r="A631" s="1"/>
      <c r="B631" s="1"/>
      <c r="C631" s="1"/>
      <c r="D631" s="1"/>
    </row>
    <row r="632" ht="15.75" customHeight="1">
      <c r="A632" s="1"/>
      <c r="B632" s="1"/>
      <c r="C632" s="1"/>
      <c r="D632" s="1"/>
    </row>
    <row r="633" ht="15.75" customHeight="1">
      <c r="A633" s="1"/>
      <c r="B633" s="1"/>
      <c r="C633" s="1"/>
      <c r="D633" s="1"/>
    </row>
    <row r="634" ht="15.75" customHeight="1">
      <c r="A634" s="1"/>
      <c r="B634" s="1"/>
      <c r="C634" s="1"/>
      <c r="D634" s="1"/>
    </row>
    <row r="635" ht="15.75" customHeight="1">
      <c r="A635" s="1"/>
      <c r="B635" s="1"/>
      <c r="C635" s="1"/>
      <c r="D635" s="1"/>
    </row>
    <row r="636" ht="15.75" customHeight="1">
      <c r="A636" s="1"/>
      <c r="B636" s="1"/>
      <c r="C636" s="1"/>
      <c r="D636" s="1"/>
    </row>
    <row r="637" ht="15.75" customHeight="1">
      <c r="A637" s="1"/>
      <c r="B637" s="1"/>
      <c r="C637" s="1"/>
      <c r="D637" s="1"/>
    </row>
    <row r="638" ht="15.75" customHeight="1">
      <c r="A638" s="1"/>
      <c r="B638" s="1"/>
      <c r="C638" s="1"/>
      <c r="D638" s="1"/>
    </row>
    <row r="639" ht="15.75" customHeight="1">
      <c r="A639" s="1"/>
      <c r="B639" s="1"/>
      <c r="C639" s="1"/>
      <c r="D639" s="1"/>
    </row>
    <row r="640" ht="15.75" customHeight="1">
      <c r="A640" s="1"/>
      <c r="B640" s="1"/>
      <c r="C640" s="1"/>
      <c r="D640" s="1"/>
    </row>
    <row r="641" ht="15.75" customHeight="1">
      <c r="A641" s="1"/>
      <c r="B641" s="1"/>
      <c r="C641" s="1"/>
      <c r="D641" s="1"/>
    </row>
    <row r="642" ht="15.75" customHeight="1">
      <c r="A642" s="1"/>
      <c r="B642" s="1"/>
      <c r="C642" s="1"/>
      <c r="D642" s="1"/>
    </row>
    <row r="643" ht="15.75" customHeight="1">
      <c r="A643" s="1"/>
      <c r="B643" s="1"/>
      <c r="C643" s="1"/>
      <c r="D643" s="1"/>
    </row>
    <row r="644" ht="15.75" customHeight="1">
      <c r="A644" s="1"/>
      <c r="B644" s="1"/>
      <c r="C644" s="1"/>
      <c r="D644" s="1"/>
    </row>
    <row r="645" ht="15.75" customHeight="1">
      <c r="A645" s="1"/>
      <c r="B645" s="1"/>
      <c r="C645" s="1"/>
      <c r="D645" s="1"/>
    </row>
    <row r="646" ht="15.75" customHeight="1">
      <c r="A646" s="1"/>
      <c r="B646" s="1"/>
      <c r="C646" s="1"/>
      <c r="D646" s="1"/>
    </row>
    <row r="647" ht="15.75" customHeight="1">
      <c r="A647" s="1"/>
      <c r="B647" s="1"/>
      <c r="C647" s="1"/>
      <c r="D647" s="1"/>
    </row>
    <row r="648" ht="15.75" customHeight="1">
      <c r="A648" s="1"/>
      <c r="B648" s="1"/>
      <c r="C648" s="1"/>
      <c r="D648" s="1"/>
    </row>
    <row r="649" ht="15.75" customHeight="1">
      <c r="A649" s="1"/>
      <c r="B649" s="1"/>
      <c r="C649" s="1"/>
      <c r="D649" s="1"/>
    </row>
    <row r="650" ht="15.75" customHeight="1">
      <c r="A650" s="1"/>
      <c r="B650" s="1"/>
      <c r="C650" s="1"/>
      <c r="D650" s="1"/>
    </row>
    <row r="651" ht="15.75" customHeight="1">
      <c r="A651" s="1"/>
      <c r="B651" s="1"/>
      <c r="C651" s="1"/>
      <c r="D651" s="1"/>
    </row>
    <row r="652" ht="15.75" customHeight="1">
      <c r="A652" s="1"/>
      <c r="B652" s="1"/>
      <c r="C652" s="1"/>
      <c r="D652" s="1"/>
    </row>
    <row r="653" ht="15.75" customHeight="1">
      <c r="A653" s="1"/>
      <c r="B653" s="1"/>
      <c r="C653" s="1"/>
      <c r="D653" s="1"/>
    </row>
    <row r="654" ht="15.75" customHeight="1">
      <c r="A654" s="1"/>
      <c r="B654" s="1"/>
      <c r="C654" s="1"/>
      <c r="D654" s="1"/>
    </row>
    <row r="655" ht="15.75" customHeight="1">
      <c r="A655" s="1"/>
      <c r="B655" s="1"/>
      <c r="C655" s="1"/>
      <c r="D655" s="1"/>
    </row>
    <row r="656" ht="15.75" customHeight="1">
      <c r="A656" s="1"/>
      <c r="B656" s="1"/>
      <c r="C656" s="1"/>
      <c r="D656" s="1"/>
    </row>
    <row r="657" ht="15.75" customHeight="1">
      <c r="A657" s="1"/>
      <c r="B657" s="1"/>
      <c r="C657" s="1"/>
      <c r="D657" s="1"/>
    </row>
    <row r="658" ht="15.75" customHeight="1">
      <c r="A658" s="1"/>
      <c r="B658" s="1"/>
      <c r="C658" s="1"/>
      <c r="D658" s="1"/>
    </row>
    <row r="659" ht="15.75" customHeight="1">
      <c r="A659" s="1"/>
      <c r="B659" s="1"/>
      <c r="C659" s="1"/>
      <c r="D659" s="1"/>
    </row>
    <row r="660" ht="15.75" customHeight="1">
      <c r="A660" s="1"/>
      <c r="B660" s="1"/>
      <c r="C660" s="1"/>
      <c r="D660" s="1"/>
    </row>
    <row r="661" ht="15.75" customHeight="1">
      <c r="A661" s="1"/>
      <c r="B661" s="1"/>
      <c r="C661" s="1"/>
      <c r="D661" s="1"/>
    </row>
    <row r="662" ht="15.75" customHeight="1">
      <c r="A662" s="1"/>
      <c r="B662" s="1"/>
      <c r="C662" s="1"/>
      <c r="D662" s="1"/>
    </row>
    <row r="663" ht="15.75" customHeight="1">
      <c r="A663" s="1"/>
      <c r="B663" s="1"/>
      <c r="C663" s="1"/>
      <c r="D663" s="1"/>
    </row>
    <row r="664" ht="15.75" customHeight="1">
      <c r="A664" s="1"/>
      <c r="B664" s="1"/>
      <c r="C664" s="1"/>
      <c r="D664" s="1"/>
    </row>
    <row r="665" ht="15.75" customHeight="1">
      <c r="A665" s="1"/>
      <c r="B665" s="1"/>
      <c r="C665" s="1"/>
      <c r="D665" s="1"/>
    </row>
    <row r="666" ht="15.75" customHeight="1">
      <c r="A666" s="1"/>
      <c r="B666" s="1"/>
      <c r="C666" s="1"/>
      <c r="D666" s="1"/>
    </row>
    <row r="667" ht="15.75" customHeight="1">
      <c r="A667" s="1"/>
      <c r="B667" s="1"/>
      <c r="C667" s="1"/>
      <c r="D667" s="1"/>
    </row>
    <row r="668" ht="15.75" customHeight="1">
      <c r="A668" s="1"/>
      <c r="B668" s="1"/>
      <c r="C668" s="1"/>
      <c r="D668" s="1"/>
    </row>
    <row r="669" ht="15.75" customHeight="1">
      <c r="A669" s="1"/>
      <c r="B669" s="1"/>
      <c r="C669" s="1"/>
      <c r="D669" s="1"/>
    </row>
    <row r="670" ht="15.75" customHeight="1">
      <c r="A670" s="1"/>
      <c r="B670" s="1"/>
      <c r="C670" s="1"/>
      <c r="D670" s="1"/>
    </row>
    <row r="671" ht="15.75" customHeight="1">
      <c r="A671" s="1"/>
      <c r="B671" s="1"/>
      <c r="C671" s="1"/>
      <c r="D671" s="1"/>
    </row>
    <row r="672" ht="15.75" customHeight="1">
      <c r="A672" s="1"/>
      <c r="B672" s="1"/>
      <c r="C672" s="1"/>
      <c r="D672" s="1"/>
    </row>
    <row r="673" ht="15.75" customHeight="1">
      <c r="A673" s="1"/>
      <c r="B673" s="1"/>
      <c r="C673" s="1"/>
      <c r="D673" s="1"/>
    </row>
    <row r="674" ht="15.75" customHeight="1">
      <c r="A674" s="1"/>
      <c r="B674" s="1"/>
      <c r="C674" s="1"/>
      <c r="D674" s="1"/>
    </row>
    <row r="675" ht="15.75" customHeight="1">
      <c r="A675" s="1"/>
      <c r="B675" s="1"/>
      <c r="C675" s="1"/>
      <c r="D675" s="1"/>
    </row>
    <row r="676" ht="15.75" customHeight="1">
      <c r="A676" s="1"/>
      <c r="B676" s="1"/>
      <c r="C676" s="1"/>
      <c r="D676" s="1"/>
    </row>
    <row r="677" ht="15.75" customHeight="1">
      <c r="A677" s="1"/>
      <c r="B677" s="1"/>
      <c r="C677" s="1"/>
      <c r="D677" s="1"/>
    </row>
    <row r="678" ht="15.75" customHeight="1">
      <c r="A678" s="1"/>
      <c r="B678" s="1"/>
      <c r="C678" s="1"/>
      <c r="D678" s="1"/>
    </row>
    <row r="679" ht="15.75" customHeight="1">
      <c r="A679" s="1"/>
      <c r="B679" s="1"/>
      <c r="C679" s="1"/>
      <c r="D679" s="1"/>
    </row>
    <row r="680" ht="15.75" customHeight="1">
      <c r="A680" s="1"/>
      <c r="B680" s="1"/>
      <c r="C680" s="1"/>
      <c r="D680" s="1"/>
    </row>
    <row r="681" ht="15.75" customHeight="1">
      <c r="A681" s="1"/>
      <c r="B681" s="1"/>
      <c r="C681" s="1"/>
      <c r="D681" s="1"/>
    </row>
    <row r="682" ht="15.75" customHeight="1">
      <c r="A682" s="1"/>
      <c r="B682" s="1"/>
      <c r="C682" s="1"/>
      <c r="D682" s="1"/>
    </row>
    <row r="683" ht="15.75" customHeight="1">
      <c r="A683" s="1"/>
      <c r="B683" s="1"/>
      <c r="C683" s="1"/>
      <c r="D683" s="1"/>
    </row>
    <row r="684" ht="15.75" customHeight="1">
      <c r="A684" s="1"/>
      <c r="B684" s="1"/>
      <c r="C684" s="1"/>
      <c r="D684" s="1"/>
    </row>
    <row r="685" ht="15.75" customHeight="1">
      <c r="A685" s="1"/>
      <c r="B685" s="1"/>
      <c r="C685" s="1"/>
      <c r="D685" s="1"/>
    </row>
    <row r="686" ht="15.75" customHeight="1">
      <c r="A686" s="1"/>
      <c r="B686" s="1"/>
      <c r="C686" s="1"/>
      <c r="D686" s="1"/>
    </row>
    <row r="687" ht="15.75" customHeight="1">
      <c r="A687" s="1"/>
      <c r="B687" s="1"/>
      <c r="C687" s="1"/>
      <c r="D687" s="1"/>
    </row>
    <row r="688" ht="15.75" customHeight="1">
      <c r="A688" s="1"/>
      <c r="B688" s="1"/>
      <c r="C688" s="1"/>
      <c r="D688" s="1"/>
    </row>
    <row r="689" ht="15.75" customHeight="1">
      <c r="A689" s="1"/>
      <c r="B689" s="1"/>
      <c r="C689" s="1"/>
      <c r="D689" s="1"/>
    </row>
    <row r="690" ht="15.75" customHeight="1">
      <c r="A690" s="1"/>
      <c r="B690" s="1"/>
      <c r="C690" s="1"/>
      <c r="D690" s="1"/>
    </row>
    <row r="691" ht="15.75" customHeight="1">
      <c r="A691" s="1"/>
      <c r="B691" s="1"/>
      <c r="C691" s="1"/>
      <c r="D691" s="1"/>
    </row>
    <row r="692" ht="15.75" customHeight="1">
      <c r="A692" s="1"/>
      <c r="B692" s="1"/>
      <c r="C692" s="1"/>
      <c r="D692" s="1"/>
    </row>
    <row r="693" ht="15.75" customHeight="1">
      <c r="A693" s="1"/>
      <c r="B693" s="1"/>
      <c r="C693" s="1"/>
      <c r="D693" s="1"/>
    </row>
    <row r="694" ht="15.75" customHeight="1">
      <c r="A694" s="1"/>
      <c r="B694" s="1"/>
      <c r="C694" s="1"/>
      <c r="D694" s="1"/>
    </row>
    <row r="695" ht="15.75" customHeight="1">
      <c r="A695" s="1"/>
      <c r="B695" s="1"/>
      <c r="C695" s="1"/>
      <c r="D695" s="1"/>
    </row>
    <row r="696" ht="15.75" customHeight="1">
      <c r="A696" s="1"/>
      <c r="B696" s="1"/>
      <c r="C696" s="1"/>
      <c r="D696" s="1"/>
    </row>
    <row r="697" ht="15.75" customHeight="1">
      <c r="A697" s="1"/>
      <c r="B697" s="1"/>
      <c r="C697" s="1"/>
      <c r="D697" s="1"/>
    </row>
    <row r="698" ht="15.75" customHeight="1">
      <c r="A698" s="1"/>
      <c r="B698" s="1"/>
      <c r="C698" s="1"/>
      <c r="D698" s="1"/>
    </row>
    <row r="699" ht="15.75" customHeight="1">
      <c r="A699" s="1"/>
      <c r="B699" s="1"/>
      <c r="C699" s="1"/>
      <c r="D699" s="1"/>
    </row>
    <row r="700" ht="15.75" customHeight="1">
      <c r="A700" s="1"/>
      <c r="B700" s="1"/>
      <c r="C700" s="1"/>
      <c r="D700" s="1"/>
    </row>
    <row r="701" ht="15.75" customHeight="1">
      <c r="A701" s="1"/>
      <c r="B701" s="1"/>
      <c r="C701" s="1"/>
      <c r="D701" s="1"/>
    </row>
    <row r="702" ht="15.75" customHeight="1">
      <c r="A702" s="1"/>
      <c r="B702" s="1"/>
      <c r="C702" s="1"/>
      <c r="D702" s="1"/>
    </row>
    <row r="703" ht="15.75" customHeight="1">
      <c r="A703" s="1"/>
      <c r="B703" s="1"/>
      <c r="C703" s="1"/>
      <c r="D703" s="1"/>
    </row>
    <row r="704" ht="15.75" customHeight="1">
      <c r="A704" s="1"/>
      <c r="B704" s="1"/>
      <c r="C704" s="1"/>
      <c r="D704" s="1"/>
    </row>
    <row r="705" ht="15.75" customHeight="1">
      <c r="A705" s="1"/>
      <c r="B705" s="1"/>
      <c r="C705" s="1"/>
      <c r="D705" s="1"/>
    </row>
    <row r="706" ht="15.75" customHeight="1">
      <c r="A706" s="1"/>
      <c r="B706" s="1"/>
      <c r="C706" s="1"/>
      <c r="D706" s="1"/>
    </row>
    <row r="707" ht="15.75" customHeight="1">
      <c r="A707" s="1"/>
      <c r="B707" s="1"/>
      <c r="C707" s="1"/>
      <c r="D707" s="1"/>
    </row>
    <row r="708" ht="15.75" customHeight="1">
      <c r="A708" s="1"/>
      <c r="B708" s="1"/>
      <c r="C708" s="1"/>
      <c r="D708" s="1"/>
    </row>
    <row r="709" ht="15.75" customHeight="1">
      <c r="A709" s="1"/>
      <c r="B709" s="1"/>
      <c r="C709" s="1"/>
      <c r="D709" s="1"/>
    </row>
    <row r="710" ht="15.75" customHeight="1">
      <c r="A710" s="1"/>
      <c r="B710" s="1"/>
      <c r="C710" s="1"/>
      <c r="D710" s="1"/>
    </row>
    <row r="711" ht="15.75" customHeight="1">
      <c r="A711" s="1"/>
      <c r="B711" s="1"/>
      <c r="C711" s="1"/>
      <c r="D711" s="1"/>
    </row>
    <row r="712" ht="15.75" customHeight="1">
      <c r="A712" s="1"/>
      <c r="B712" s="1"/>
      <c r="C712" s="1"/>
      <c r="D712" s="1"/>
    </row>
    <row r="713" ht="15.75" customHeight="1">
      <c r="A713" s="1"/>
      <c r="B713" s="1"/>
      <c r="C713" s="1"/>
      <c r="D713" s="1"/>
    </row>
    <row r="714" ht="15.75" customHeight="1">
      <c r="A714" s="1"/>
      <c r="B714" s="1"/>
      <c r="C714" s="1"/>
      <c r="D714" s="1"/>
    </row>
    <row r="715" ht="15.75" customHeight="1">
      <c r="A715" s="1"/>
      <c r="B715" s="1"/>
      <c r="C715" s="1"/>
      <c r="D715" s="1"/>
    </row>
    <row r="716" ht="15.75" customHeight="1">
      <c r="A716" s="1"/>
      <c r="B716" s="1"/>
      <c r="C716" s="1"/>
      <c r="D716" s="1"/>
    </row>
    <row r="717" ht="15.75" customHeight="1">
      <c r="A717" s="1"/>
      <c r="B717" s="1"/>
      <c r="C717" s="1"/>
      <c r="D717" s="1"/>
    </row>
    <row r="718" ht="15.75" customHeight="1">
      <c r="A718" s="1"/>
      <c r="B718" s="1"/>
      <c r="C718" s="1"/>
      <c r="D718" s="1"/>
    </row>
    <row r="719" ht="15.75" customHeight="1">
      <c r="A719" s="1"/>
      <c r="B719" s="1"/>
      <c r="C719" s="1"/>
      <c r="D719" s="1"/>
    </row>
    <row r="720" ht="15.75" customHeight="1">
      <c r="A720" s="1"/>
      <c r="B720" s="1"/>
      <c r="C720" s="1"/>
      <c r="D720" s="1"/>
    </row>
    <row r="721" ht="15.75" customHeight="1">
      <c r="A721" s="1"/>
      <c r="B721" s="1"/>
      <c r="C721" s="1"/>
      <c r="D721" s="1"/>
    </row>
    <row r="722" ht="15.75" customHeight="1">
      <c r="A722" s="1"/>
      <c r="B722" s="1"/>
      <c r="C722" s="1"/>
      <c r="D722" s="1"/>
    </row>
    <row r="723" ht="15.75" customHeight="1">
      <c r="A723" s="1"/>
      <c r="B723" s="1"/>
      <c r="C723" s="1"/>
      <c r="D723" s="1"/>
    </row>
    <row r="724" ht="15.75" customHeight="1">
      <c r="A724" s="1"/>
      <c r="B724" s="1"/>
      <c r="C724" s="1"/>
      <c r="D724" s="1"/>
    </row>
    <row r="725" ht="15.75" customHeight="1">
      <c r="A725" s="1"/>
      <c r="B725" s="1"/>
      <c r="C725" s="1"/>
      <c r="D725" s="1"/>
    </row>
    <row r="726" ht="15.75" customHeight="1">
      <c r="A726" s="1"/>
      <c r="B726" s="1"/>
      <c r="C726" s="1"/>
      <c r="D726" s="1"/>
    </row>
    <row r="727" ht="15.75" customHeight="1">
      <c r="A727" s="1"/>
      <c r="B727" s="1"/>
      <c r="C727" s="1"/>
      <c r="D727" s="1"/>
    </row>
    <row r="728" ht="15.75" customHeight="1">
      <c r="A728" s="1"/>
      <c r="B728" s="1"/>
      <c r="C728" s="1"/>
      <c r="D728" s="1"/>
    </row>
    <row r="729" ht="15.75" customHeight="1">
      <c r="A729" s="1"/>
      <c r="B729" s="1"/>
      <c r="C729" s="1"/>
      <c r="D729" s="1"/>
    </row>
    <row r="730" ht="15.75" customHeight="1">
      <c r="A730" s="1"/>
      <c r="B730" s="1"/>
      <c r="C730" s="1"/>
      <c r="D730" s="1"/>
    </row>
    <row r="731" ht="15.75" customHeight="1">
      <c r="A731" s="1"/>
      <c r="B731" s="1"/>
      <c r="C731" s="1"/>
      <c r="D731" s="1"/>
    </row>
    <row r="732" ht="15.75" customHeight="1">
      <c r="A732" s="1"/>
      <c r="B732" s="1"/>
      <c r="C732" s="1"/>
      <c r="D732" s="1"/>
    </row>
    <row r="733" ht="15.75" customHeight="1">
      <c r="A733" s="1"/>
      <c r="B733" s="1"/>
      <c r="C733" s="1"/>
      <c r="D733" s="1"/>
    </row>
    <row r="734" ht="15.75" customHeight="1">
      <c r="A734" s="1"/>
      <c r="B734" s="1"/>
      <c r="C734" s="1"/>
      <c r="D734" s="1"/>
    </row>
    <row r="735" ht="15.75" customHeight="1">
      <c r="A735" s="1"/>
      <c r="B735" s="1"/>
      <c r="C735" s="1"/>
      <c r="D735" s="1"/>
    </row>
    <row r="736" ht="15.75" customHeight="1">
      <c r="A736" s="1"/>
      <c r="B736" s="1"/>
      <c r="C736" s="1"/>
      <c r="D736" s="1"/>
    </row>
    <row r="737" ht="15.75" customHeight="1">
      <c r="A737" s="1"/>
      <c r="B737" s="1"/>
      <c r="C737" s="1"/>
      <c r="D737" s="1"/>
    </row>
    <row r="738" ht="15.75" customHeight="1">
      <c r="A738" s="1"/>
      <c r="B738" s="1"/>
      <c r="C738" s="1"/>
      <c r="D738" s="1"/>
    </row>
    <row r="739" ht="15.75" customHeight="1">
      <c r="A739" s="1"/>
      <c r="B739" s="1"/>
      <c r="C739" s="1"/>
      <c r="D739" s="1"/>
    </row>
    <row r="740" ht="15.75" customHeight="1">
      <c r="A740" s="1"/>
      <c r="B740" s="1"/>
      <c r="C740" s="1"/>
      <c r="D740" s="1"/>
    </row>
    <row r="741" ht="15.75" customHeight="1">
      <c r="A741" s="1"/>
      <c r="B741" s="1"/>
      <c r="C741" s="1"/>
      <c r="D741" s="1"/>
    </row>
    <row r="742" ht="15.75" customHeight="1">
      <c r="A742" s="1"/>
      <c r="B742" s="1"/>
      <c r="C742" s="1"/>
      <c r="D742" s="1"/>
    </row>
    <row r="743" ht="15.75" customHeight="1">
      <c r="A743" s="1"/>
      <c r="B743" s="1"/>
      <c r="C743" s="1"/>
      <c r="D743" s="1"/>
    </row>
    <row r="744" ht="15.75" customHeight="1">
      <c r="A744" s="1"/>
      <c r="B744" s="1"/>
      <c r="C744" s="1"/>
      <c r="D744" s="1"/>
    </row>
    <row r="745" ht="15.75" customHeight="1">
      <c r="A745" s="1"/>
      <c r="B745" s="1"/>
      <c r="C745" s="1"/>
      <c r="D745" s="1"/>
    </row>
    <row r="746" ht="15.75" customHeight="1">
      <c r="A746" s="1"/>
      <c r="B746" s="1"/>
      <c r="C746" s="1"/>
      <c r="D746" s="1"/>
    </row>
    <row r="747" ht="15.75" customHeight="1">
      <c r="A747" s="1"/>
      <c r="B747" s="1"/>
      <c r="C747" s="1"/>
      <c r="D747" s="1"/>
    </row>
    <row r="748" ht="15.75" customHeight="1">
      <c r="A748" s="1"/>
      <c r="B748" s="1"/>
      <c r="C748" s="1"/>
      <c r="D748" s="1"/>
    </row>
    <row r="749" ht="15.75" customHeight="1">
      <c r="A749" s="1"/>
      <c r="B749" s="1"/>
      <c r="C749" s="1"/>
      <c r="D749" s="1"/>
    </row>
    <row r="750" ht="15.75" customHeight="1">
      <c r="A750" s="1"/>
      <c r="B750" s="1"/>
      <c r="C750" s="1"/>
      <c r="D750" s="1"/>
    </row>
    <row r="751" ht="15.75" customHeight="1">
      <c r="A751" s="1"/>
      <c r="B751" s="1"/>
      <c r="C751" s="1"/>
      <c r="D751" s="1"/>
    </row>
    <row r="752" ht="15.75" customHeight="1">
      <c r="A752" s="1"/>
      <c r="B752" s="1"/>
      <c r="C752" s="1"/>
      <c r="D752" s="1"/>
    </row>
    <row r="753" ht="15.75" customHeight="1">
      <c r="A753" s="1"/>
      <c r="B753" s="1"/>
      <c r="C753" s="1"/>
      <c r="D753" s="1"/>
    </row>
    <row r="754" ht="15.75" customHeight="1">
      <c r="A754" s="1"/>
      <c r="B754" s="1"/>
      <c r="C754" s="1"/>
      <c r="D754" s="1"/>
    </row>
    <row r="755" ht="15.75" customHeight="1">
      <c r="A755" s="1"/>
      <c r="B755" s="1"/>
      <c r="C755" s="1"/>
      <c r="D755" s="1"/>
    </row>
    <row r="756" ht="15.75" customHeight="1">
      <c r="A756" s="1"/>
      <c r="B756" s="1"/>
      <c r="C756" s="1"/>
      <c r="D756" s="1"/>
    </row>
    <row r="757" ht="15.75" customHeight="1">
      <c r="A757" s="1"/>
      <c r="B757" s="1"/>
      <c r="C757" s="1"/>
      <c r="D757" s="1"/>
    </row>
    <row r="758" ht="15.75" customHeight="1">
      <c r="A758" s="1"/>
      <c r="B758" s="1"/>
      <c r="C758" s="1"/>
      <c r="D758" s="1"/>
    </row>
    <row r="759" ht="15.75" customHeight="1">
      <c r="A759" s="1"/>
      <c r="B759" s="1"/>
      <c r="C759" s="1"/>
      <c r="D759" s="1"/>
    </row>
    <row r="760" ht="15.75" customHeight="1">
      <c r="A760" s="1"/>
      <c r="B760" s="1"/>
      <c r="C760" s="1"/>
      <c r="D760" s="1"/>
    </row>
    <row r="761" ht="15.75" customHeight="1">
      <c r="A761" s="1"/>
      <c r="B761" s="1"/>
      <c r="C761" s="1"/>
      <c r="D761" s="1"/>
    </row>
    <row r="762" ht="15.75" customHeight="1">
      <c r="A762" s="1"/>
      <c r="B762" s="1"/>
      <c r="C762" s="1"/>
      <c r="D762" s="1"/>
    </row>
    <row r="763" ht="15.75" customHeight="1">
      <c r="A763" s="1"/>
      <c r="B763" s="1"/>
      <c r="C763" s="1"/>
      <c r="D763" s="1"/>
    </row>
    <row r="764" ht="15.75" customHeight="1">
      <c r="A764" s="1"/>
      <c r="B764" s="1"/>
      <c r="C764" s="1"/>
      <c r="D764" s="1"/>
    </row>
    <row r="765" ht="15.75" customHeight="1">
      <c r="A765" s="1"/>
      <c r="B765" s="1"/>
      <c r="C765" s="1"/>
      <c r="D765" s="1"/>
    </row>
    <row r="766" ht="15.75" customHeight="1">
      <c r="A766" s="1"/>
      <c r="B766" s="1"/>
      <c r="C766" s="1"/>
      <c r="D766" s="1"/>
    </row>
    <row r="767" ht="15.75" customHeight="1">
      <c r="A767" s="1"/>
      <c r="B767" s="1"/>
      <c r="C767" s="1"/>
      <c r="D767" s="1"/>
    </row>
    <row r="768" ht="15.75" customHeight="1">
      <c r="A768" s="1"/>
      <c r="B768" s="1"/>
      <c r="C768" s="1"/>
      <c r="D768" s="1"/>
    </row>
    <row r="769" ht="15.75" customHeight="1">
      <c r="A769" s="1"/>
      <c r="B769" s="1"/>
      <c r="C769" s="1"/>
      <c r="D769" s="1"/>
    </row>
    <row r="770" ht="15.75" customHeight="1">
      <c r="A770" s="1"/>
      <c r="B770" s="1"/>
      <c r="C770" s="1"/>
      <c r="D770" s="1"/>
    </row>
    <row r="771" ht="15.75" customHeight="1">
      <c r="A771" s="1"/>
      <c r="B771" s="1"/>
      <c r="C771" s="1"/>
      <c r="D771" s="1"/>
    </row>
    <row r="772" ht="15.75" customHeight="1">
      <c r="A772" s="1"/>
      <c r="B772" s="1"/>
      <c r="C772" s="1"/>
      <c r="D772" s="1"/>
    </row>
    <row r="773" ht="15.75" customHeight="1">
      <c r="A773" s="1"/>
      <c r="B773" s="1"/>
      <c r="C773" s="1"/>
      <c r="D773" s="1"/>
    </row>
    <row r="774" ht="15.75" customHeight="1">
      <c r="A774" s="1"/>
      <c r="B774" s="1"/>
      <c r="C774" s="1"/>
      <c r="D774" s="1"/>
    </row>
    <row r="775" ht="15.75" customHeight="1">
      <c r="A775" s="1"/>
      <c r="B775" s="1"/>
      <c r="C775" s="1"/>
      <c r="D775" s="1"/>
    </row>
    <row r="776" ht="15.75" customHeight="1">
      <c r="A776" s="1"/>
      <c r="B776" s="1"/>
      <c r="C776" s="1"/>
      <c r="D776" s="1"/>
    </row>
    <row r="777" ht="15.75" customHeight="1">
      <c r="A777" s="1"/>
      <c r="B777" s="1"/>
      <c r="C777" s="1"/>
      <c r="D777" s="1"/>
    </row>
    <row r="778" ht="15.75" customHeight="1">
      <c r="A778" s="1"/>
      <c r="B778" s="1"/>
      <c r="C778" s="1"/>
      <c r="D778" s="1"/>
    </row>
    <row r="779" ht="15.75" customHeight="1">
      <c r="A779" s="1"/>
      <c r="B779" s="1"/>
      <c r="C779" s="1"/>
      <c r="D779" s="1"/>
    </row>
    <row r="780" ht="15.75" customHeight="1">
      <c r="A780" s="1"/>
      <c r="B780" s="1"/>
      <c r="C780" s="1"/>
      <c r="D780" s="1"/>
    </row>
    <row r="781" ht="15.75" customHeight="1">
      <c r="A781" s="1"/>
      <c r="B781" s="1"/>
      <c r="C781" s="1"/>
      <c r="D781" s="1"/>
    </row>
    <row r="782" ht="15.75" customHeight="1">
      <c r="A782" s="1"/>
      <c r="B782" s="1"/>
      <c r="C782" s="1"/>
      <c r="D782" s="1"/>
    </row>
    <row r="783" ht="15.75" customHeight="1">
      <c r="A783" s="1"/>
      <c r="B783" s="1"/>
      <c r="C783" s="1"/>
      <c r="D783" s="1"/>
    </row>
    <row r="784" ht="15.75" customHeight="1">
      <c r="A784" s="1"/>
      <c r="B784" s="1"/>
      <c r="C784" s="1"/>
      <c r="D784" s="1"/>
    </row>
    <row r="785" ht="15.75" customHeight="1">
      <c r="A785" s="1"/>
      <c r="B785" s="1"/>
      <c r="C785" s="1"/>
      <c r="D785" s="1"/>
    </row>
    <row r="786" ht="15.75" customHeight="1">
      <c r="A786" s="1"/>
      <c r="B786" s="1"/>
      <c r="C786" s="1"/>
      <c r="D786" s="1"/>
    </row>
    <row r="787" ht="15.75" customHeight="1">
      <c r="A787" s="1"/>
      <c r="B787" s="1"/>
      <c r="C787" s="1"/>
      <c r="D787" s="1"/>
    </row>
    <row r="788" ht="15.75" customHeight="1">
      <c r="A788" s="1"/>
      <c r="B788" s="1"/>
      <c r="C788" s="1"/>
      <c r="D788" s="1"/>
    </row>
    <row r="789" ht="15.75" customHeight="1">
      <c r="A789" s="1"/>
      <c r="B789" s="1"/>
      <c r="C789" s="1"/>
      <c r="D789" s="1"/>
    </row>
    <row r="790" ht="15.75" customHeight="1">
      <c r="A790" s="1"/>
      <c r="B790" s="1"/>
      <c r="C790" s="1"/>
      <c r="D790" s="1"/>
    </row>
    <row r="791" ht="15.75" customHeight="1">
      <c r="A791" s="1"/>
      <c r="B791" s="1"/>
      <c r="C791" s="1"/>
      <c r="D791" s="1"/>
    </row>
    <row r="792" ht="15.75" customHeight="1">
      <c r="A792" s="1"/>
      <c r="B792" s="1"/>
      <c r="C792" s="1"/>
      <c r="D792" s="1"/>
    </row>
    <row r="793" ht="15.75" customHeight="1">
      <c r="A793" s="1"/>
      <c r="B793" s="1"/>
      <c r="C793" s="1"/>
      <c r="D793" s="1"/>
    </row>
    <row r="794" ht="15.75" customHeight="1">
      <c r="A794" s="1"/>
      <c r="B794" s="1"/>
      <c r="C794" s="1"/>
      <c r="D794" s="1"/>
    </row>
    <row r="795" ht="15.75" customHeight="1">
      <c r="A795" s="1"/>
      <c r="B795" s="1"/>
      <c r="C795" s="1"/>
      <c r="D795" s="1"/>
    </row>
    <row r="796" ht="15.75" customHeight="1">
      <c r="A796" s="1"/>
      <c r="B796" s="1"/>
      <c r="C796" s="1"/>
      <c r="D796" s="1"/>
    </row>
    <row r="797" ht="15.75" customHeight="1">
      <c r="A797" s="1"/>
      <c r="B797" s="1"/>
      <c r="C797" s="1"/>
      <c r="D797" s="1"/>
    </row>
    <row r="798" ht="15.75" customHeight="1">
      <c r="A798" s="1"/>
      <c r="B798" s="1"/>
      <c r="C798" s="1"/>
      <c r="D798" s="1"/>
    </row>
    <row r="799" ht="15.75" customHeight="1">
      <c r="A799" s="1"/>
      <c r="B799" s="1"/>
      <c r="C799" s="1"/>
      <c r="D799" s="1"/>
    </row>
    <row r="800" ht="15.75" customHeight="1">
      <c r="A800" s="1"/>
      <c r="B800" s="1"/>
      <c r="C800" s="1"/>
      <c r="D800" s="1"/>
    </row>
    <row r="801" ht="15.75" customHeight="1">
      <c r="A801" s="1"/>
      <c r="B801" s="1"/>
      <c r="C801" s="1"/>
      <c r="D801" s="1"/>
    </row>
    <row r="802" ht="15.75" customHeight="1">
      <c r="A802" s="1"/>
      <c r="B802" s="1"/>
      <c r="C802" s="1"/>
      <c r="D802" s="1"/>
    </row>
    <row r="803" ht="15.75" customHeight="1">
      <c r="A803" s="1"/>
      <c r="B803" s="1"/>
      <c r="C803" s="1"/>
      <c r="D803" s="1"/>
    </row>
    <row r="804" ht="15.75" customHeight="1">
      <c r="A804" s="1"/>
      <c r="B804" s="1"/>
      <c r="C804" s="1"/>
      <c r="D804" s="1"/>
    </row>
    <row r="805" ht="15.75" customHeight="1">
      <c r="A805" s="1"/>
      <c r="B805" s="1"/>
      <c r="C805" s="1"/>
      <c r="D805" s="1"/>
    </row>
    <row r="806" ht="15.75" customHeight="1">
      <c r="A806" s="1"/>
      <c r="B806" s="1"/>
      <c r="C806" s="1"/>
      <c r="D806" s="1"/>
    </row>
    <row r="807" ht="15.75" customHeight="1">
      <c r="A807" s="1"/>
      <c r="B807" s="1"/>
      <c r="C807" s="1"/>
      <c r="D807" s="1"/>
    </row>
    <row r="808" ht="15.75" customHeight="1">
      <c r="A808" s="1"/>
      <c r="B808" s="1"/>
      <c r="C808" s="1"/>
      <c r="D808" s="1"/>
    </row>
    <row r="809" ht="15.75" customHeight="1">
      <c r="A809" s="1"/>
      <c r="B809" s="1"/>
      <c r="C809" s="1"/>
      <c r="D809" s="1"/>
    </row>
    <row r="810" ht="15.75" customHeight="1">
      <c r="A810" s="1"/>
      <c r="B810" s="1"/>
      <c r="C810" s="1"/>
      <c r="D810" s="1"/>
    </row>
    <row r="811" ht="15.75" customHeight="1">
      <c r="A811" s="1"/>
      <c r="B811" s="1"/>
      <c r="C811" s="1"/>
      <c r="D811" s="1"/>
    </row>
    <row r="812" ht="15.75" customHeight="1">
      <c r="A812" s="1"/>
      <c r="B812" s="1"/>
      <c r="C812" s="1"/>
      <c r="D812" s="1"/>
    </row>
    <row r="813" ht="15.75" customHeight="1">
      <c r="A813" s="1"/>
      <c r="B813" s="1"/>
      <c r="C813" s="1"/>
      <c r="D813" s="1"/>
    </row>
    <row r="814" ht="15.75" customHeight="1">
      <c r="A814" s="1"/>
      <c r="B814" s="1"/>
      <c r="C814" s="1"/>
      <c r="D814" s="1"/>
    </row>
    <row r="815" ht="15.75" customHeight="1">
      <c r="A815" s="1"/>
      <c r="B815" s="1"/>
      <c r="C815" s="1"/>
      <c r="D815" s="1"/>
    </row>
    <row r="816" ht="15.75" customHeight="1">
      <c r="A816" s="1"/>
      <c r="B816" s="1"/>
      <c r="C816" s="1"/>
      <c r="D816" s="1"/>
    </row>
    <row r="817" ht="15.75" customHeight="1">
      <c r="A817" s="1"/>
      <c r="B817" s="1"/>
      <c r="C817" s="1"/>
      <c r="D817" s="1"/>
    </row>
    <row r="818" ht="15.75" customHeight="1">
      <c r="A818" s="1"/>
      <c r="B818" s="1"/>
      <c r="C818" s="1"/>
      <c r="D818" s="1"/>
    </row>
    <row r="819" ht="15.75" customHeight="1">
      <c r="A819" s="1"/>
      <c r="B819" s="1"/>
      <c r="C819" s="1"/>
      <c r="D819" s="1"/>
    </row>
    <row r="820" ht="15.75" customHeight="1">
      <c r="A820" s="1"/>
      <c r="B820" s="1"/>
      <c r="C820" s="1"/>
      <c r="D820" s="1"/>
    </row>
    <row r="821" ht="15.75" customHeight="1">
      <c r="A821" s="1"/>
      <c r="B821" s="1"/>
      <c r="C821" s="1"/>
      <c r="D821" s="1"/>
    </row>
    <row r="822" ht="15.75" customHeight="1">
      <c r="A822" s="1"/>
      <c r="B822" s="1"/>
      <c r="C822" s="1"/>
      <c r="D822" s="1"/>
    </row>
    <row r="823" ht="15.75" customHeight="1">
      <c r="A823" s="1"/>
      <c r="B823" s="1"/>
      <c r="C823" s="1"/>
      <c r="D823" s="1"/>
    </row>
    <row r="824" ht="15.75" customHeight="1">
      <c r="A824" s="1"/>
      <c r="B824" s="1"/>
      <c r="C824" s="1"/>
      <c r="D824" s="1"/>
    </row>
    <row r="825" ht="15.75" customHeight="1">
      <c r="A825" s="1"/>
      <c r="B825" s="1"/>
      <c r="C825" s="1"/>
      <c r="D825" s="1"/>
    </row>
    <row r="826" ht="15.75" customHeight="1">
      <c r="A826" s="1"/>
      <c r="B826" s="1"/>
      <c r="C826" s="1"/>
      <c r="D826" s="1"/>
    </row>
    <row r="827" ht="15.75" customHeight="1">
      <c r="A827" s="1"/>
      <c r="B827" s="1"/>
      <c r="C827" s="1"/>
      <c r="D827" s="1"/>
    </row>
    <row r="828" ht="15.75" customHeight="1">
      <c r="A828" s="1"/>
      <c r="B828" s="1"/>
      <c r="C828" s="1"/>
      <c r="D828" s="1"/>
    </row>
    <row r="829" ht="15.75" customHeight="1">
      <c r="A829" s="1"/>
      <c r="B829" s="1"/>
      <c r="C829" s="1"/>
      <c r="D829" s="1"/>
    </row>
    <row r="830" ht="15.75" customHeight="1">
      <c r="A830" s="1"/>
      <c r="B830" s="1"/>
      <c r="C830" s="1"/>
      <c r="D830" s="1"/>
    </row>
    <row r="831" ht="15.75" customHeight="1">
      <c r="A831" s="1"/>
      <c r="B831" s="1"/>
      <c r="C831" s="1"/>
      <c r="D831" s="1"/>
    </row>
    <row r="832" ht="15.75" customHeight="1">
      <c r="A832" s="1"/>
      <c r="B832" s="1"/>
      <c r="C832" s="1"/>
      <c r="D832" s="1"/>
    </row>
    <row r="833" ht="15.75" customHeight="1">
      <c r="A833" s="1"/>
      <c r="B833" s="1"/>
      <c r="C833" s="1"/>
      <c r="D833" s="1"/>
    </row>
    <row r="834" ht="15.75" customHeight="1">
      <c r="A834" s="1"/>
      <c r="B834" s="1"/>
      <c r="C834" s="1"/>
      <c r="D834" s="1"/>
    </row>
    <row r="835" ht="15.75" customHeight="1">
      <c r="A835" s="1"/>
      <c r="B835" s="1"/>
      <c r="C835" s="1"/>
      <c r="D835" s="1"/>
    </row>
    <row r="836" ht="15.75" customHeight="1">
      <c r="A836" s="1"/>
      <c r="B836" s="1"/>
      <c r="C836" s="1"/>
      <c r="D836" s="1"/>
    </row>
    <row r="837" ht="15.75" customHeight="1">
      <c r="A837" s="1"/>
      <c r="B837" s="1"/>
      <c r="C837" s="1"/>
      <c r="D837" s="1"/>
    </row>
    <row r="838" ht="15.75" customHeight="1">
      <c r="A838" s="1"/>
      <c r="B838" s="1"/>
      <c r="C838" s="1"/>
      <c r="D838" s="1"/>
    </row>
    <row r="839" ht="15.75" customHeight="1">
      <c r="A839" s="1"/>
      <c r="B839" s="1"/>
      <c r="C839" s="1"/>
      <c r="D839" s="1"/>
    </row>
    <row r="840" ht="15.75" customHeight="1">
      <c r="A840" s="1"/>
      <c r="B840" s="1"/>
      <c r="C840" s="1"/>
      <c r="D840" s="1"/>
    </row>
    <row r="841" ht="15.75" customHeight="1">
      <c r="A841" s="1"/>
      <c r="B841" s="1"/>
      <c r="C841" s="1"/>
      <c r="D841" s="1"/>
    </row>
    <row r="842" ht="15.75" customHeight="1">
      <c r="A842" s="1"/>
      <c r="B842" s="1"/>
      <c r="C842" s="1"/>
      <c r="D842" s="1"/>
    </row>
    <row r="843" ht="15.75" customHeight="1">
      <c r="A843" s="1"/>
      <c r="B843" s="1"/>
      <c r="C843" s="1"/>
      <c r="D843" s="1"/>
    </row>
    <row r="844" ht="15.75" customHeight="1">
      <c r="A844" s="1"/>
      <c r="B844" s="1"/>
      <c r="C844" s="1"/>
      <c r="D844" s="1"/>
    </row>
    <row r="845" ht="15.75" customHeight="1">
      <c r="A845" s="1"/>
      <c r="B845" s="1"/>
      <c r="C845" s="1"/>
      <c r="D845" s="1"/>
    </row>
    <row r="846" ht="15.75" customHeight="1">
      <c r="A846" s="1"/>
      <c r="B846" s="1"/>
      <c r="C846" s="1"/>
      <c r="D846" s="1"/>
    </row>
    <row r="847" ht="15.75" customHeight="1">
      <c r="A847" s="1"/>
      <c r="B847" s="1"/>
      <c r="C847" s="1"/>
      <c r="D847" s="1"/>
    </row>
    <row r="848" ht="15.75" customHeight="1">
      <c r="A848" s="1"/>
      <c r="B848" s="1"/>
      <c r="C848" s="1"/>
      <c r="D848" s="1"/>
    </row>
    <row r="849" ht="15.75" customHeight="1">
      <c r="A849" s="1"/>
      <c r="B849" s="1"/>
      <c r="C849" s="1"/>
      <c r="D849" s="1"/>
    </row>
    <row r="850" ht="15.75" customHeight="1">
      <c r="A850" s="1"/>
      <c r="B850" s="1"/>
      <c r="C850" s="1"/>
      <c r="D850" s="1"/>
    </row>
    <row r="851" ht="15.75" customHeight="1">
      <c r="A851" s="1"/>
      <c r="B851" s="1"/>
      <c r="C851" s="1"/>
      <c r="D851" s="1"/>
    </row>
    <row r="852" ht="15.75" customHeight="1">
      <c r="A852" s="1"/>
      <c r="B852" s="1"/>
      <c r="C852" s="1"/>
      <c r="D852" s="1"/>
    </row>
    <row r="853" ht="15.75" customHeight="1">
      <c r="A853" s="1"/>
      <c r="B853" s="1"/>
      <c r="C853" s="1"/>
      <c r="D853" s="1"/>
    </row>
    <row r="854" ht="15.75" customHeight="1">
      <c r="A854" s="1"/>
      <c r="B854" s="1"/>
      <c r="C854" s="1"/>
      <c r="D854" s="1"/>
    </row>
    <row r="855" ht="15.75" customHeight="1">
      <c r="A855" s="1"/>
      <c r="B855" s="1"/>
      <c r="C855" s="1"/>
      <c r="D855" s="1"/>
    </row>
    <row r="856" ht="15.75" customHeight="1">
      <c r="A856" s="1"/>
      <c r="B856" s="1"/>
      <c r="C856" s="1"/>
      <c r="D856" s="1"/>
    </row>
    <row r="857" ht="15.75" customHeight="1">
      <c r="A857" s="1"/>
      <c r="B857" s="1"/>
      <c r="C857" s="1"/>
      <c r="D857" s="1"/>
    </row>
    <row r="858" ht="15.75" customHeight="1">
      <c r="A858" s="1"/>
      <c r="B858" s="1"/>
      <c r="C858" s="1"/>
      <c r="D858" s="1"/>
    </row>
    <row r="859" ht="15.75" customHeight="1">
      <c r="A859" s="1"/>
      <c r="B859" s="1"/>
      <c r="C859" s="1"/>
      <c r="D859" s="1"/>
    </row>
    <row r="860" ht="15.75" customHeight="1">
      <c r="A860" s="1"/>
      <c r="B860" s="1"/>
      <c r="C860" s="1"/>
      <c r="D860" s="1"/>
    </row>
    <row r="861" ht="15.75" customHeight="1">
      <c r="A861" s="1"/>
      <c r="B861" s="1"/>
      <c r="C861" s="1"/>
      <c r="D861" s="1"/>
    </row>
    <row r="862" ht="15.75" customHeight="1">
      <c r="A862" s="1"/>
      <c r="B862" s="1"/>
      <c r="C862" s="1"/>
      <c r="D862" s="1"/>
    </row>
    <row r="863" ht="15.75" customHeight="1">
      <c r="A863" s="1"/>
      <c r="B863" s="1"/>
      <c r="C863" s="1"/>
      <c r="D863" s="1"/>
    </row>
    <row r="864" ht="15.75" customHeight="1">
      <c r="A864" s="1"/>
      <c r="B864" s="1"/>
      <c r="C864" s="1"/>
      <c r="D864" s="1"/>
    </row>
    <row r="865" ht="15.75" customHeight="1">
      <c r="A865" s="1"/>
      <c r="B865" s="1"/>
      <c r="C865" s="1"/>
      <c r="D865" s="1"/>
    </row>
    <row r="866" ht="15.75" customHeight="1">
      <c r="A866" s="1"/>
      <c r="B866" s="1"/>
      <c r="C866" s="1"/>
      <c r="D866" s="1"/>
    </row>
    <row r="867" ht="15.75" customHeight="1">
      <c r="A867" s="1"/>
      <c r="B867" s="1"/>
      <c r="C867" s="1"/>
      <c r="D867" s="1"/>
    </row>
    <row r="868" ht="15.75" customHeight="1">
      <c r="A868" s="1"/>
      <c r="B868" s="1"/>
      <c r="C868" s="1"/>
      <c r="D868" s="1"/>
    </row>
    <row r="869" ht="15.75" customHeight="1">
      <c r="A869" s="1"/>
      <c r="B869" s="1"/>
      <c r="C869" s="1"/>
      <c r="D869" s="1"/>
    </row>
    <row r="870" ht="15.75" customHeight="1">
      <c r="A870" s="1"/>
      <c r="B870" s="1"/>
      <c r="C870" s="1"/>
      <c r="D870" s="1"/>
    </row>
    <row r="871" ht="15.75" customHeight="1">
      <c r="A871" s="1"/>
      <c r="B871" s="1"/>
      <c r="C871" s="1"/>
      <c r="D871" s="1"/>
    </row>
    <row r="872" ht="15.75" customHeight="1">
      <c r="A872" s="1"/>
      <c r="B872" s="1"/>
      <c r="C872" s="1"/>
      <c r="D872" s="1"/>
    </row>
    <row r="873" ht="15.75" customHeight="1">
      <c r="A873" s="1"/>
      <c r="B873" s="1"/>
      <c r="C873" s="1"/>
      <c r="D873" s="1"/>
    </row>
    <row r="874" ht="15.75" customHeight="1">
      <c r="A874" s="1"/>
      <c r="B874" s="1"/>
      <c r="C874" s="1"/>
      <c r="D874" s="1"/>
    </row>
    <row r="875" ht="15.75" customHeight="1">
      <c r="A875" s="1"/>
      <c r="B875" s="1"/>
      <c r="C875" s="1"/>
      <c r="D875" s="1"/>
    </row>
    <row r="876" ht="15.75" customHeight="1">
      <c r="A876" s="1"/>
      <c r="B876" s="1"/>
      <c r="C876" s="1"/>
      <c r="D876" s="1"/>
    </row>
    <row r="877" ht="15.75" customHeight="1">
      <c r="A877" s="1"/>
      <c r="B877" s="1"/>
      <c r="C877" s="1"/>
      <c r="D877" s="1"/>
    </row>
    <row r="878" ht="15.75" customHeight="1">
      <c r="A878" s="1"/>
      <c r="B878" s="1"/>
      <c r="C878" s="1"/>
      <c r="D878" s="1"/>
    </row>
    <row r="879" ht="15.75" customHeight="1">
      <c r="A879" s="1"/>
      <c r="B879" s="1"/>
      <c r="C879" s="1"/>
      <c r="D879" s="1"/>
    </row>
    <row r="880" ht="15.75" customHeight="1">
      <c r="A880" s="1"/>
      <c r="B880" s="1"/>
      <c r="C880" s="1"/>
      <c r="D880" s="1"/>
    </row>
    <row r="881" ht="15.75" customHeight="1">
      <c r="A881" s="1"/>
      <c r="B881" s="1"/>
      <c r="C881" s="1"/>
      <c r="D881" s="1"/>
    </row>
    <row r="882" ht="15.75" customHeight="1">
      <c r="A882" s="1"/>
      <c r="B882" s="1"/>
      <c r="C882" s="1"/>
      <c r="D882" s="1"/>
    </row>
    <row r="883" ht="15.75" customHeight="1">
      <c r="A883" s="1"/>
      <c r="B883" s="1"/>
      <c r="C883" s="1"/>
      <c r="D883" s="1"/>
    </row>
    <row r="884" ht="15.75" customHeight="1">
      <c r="A884" s="1"/>
      <c r="B884" s="1"/>
      <c r="C884" s="1"/>
      <c r="D884" s="1"/>
    </row>
    <row r="885" ht="15.75" customHeight="1">
      <c r="A885" s="1"/>
      <c r="B885" s="1"/>
      <c r="C885" s="1"/>
      <c r="D885" s="1"/>
    </row>
    <row r="886" ht="15.75" customHeight="1">
      <c r="A886" s="1"/>
      <c r="B886" s="1"/>
      <c r="C886" s="1"/>
      <c r="D886" s="1"/>
    </row>
    <row r="887" ht="15.75" customHeight="1">
      <c r="A887" s="1"/>
      <c r="B887" s="1"/>
      <c r="C887" s="1"/>
      <c r="D887" s="1"/>
    </row>
    <row r="888" ht="15.75" customHeight="1">
      <c r="A888" s="1"/>
      <c r="B888" s="1"/>
      <c r="C888" s="1"/>
      <c r="D888" s="1"/>
    </row>
    <row r="889" ht="15.75" customHeight="1">
      <c r="A889" s="1"/>
      <c r="B889" s="1"/>
      <c r="C889" s="1"/>
      <c r="D889" s="1"/>
    </row>
    <row r="890" ht="15.75" customHeight="1">
      <c r="A890" s="1"/>
      <c r="B890" s="1"/>
      <c r="C890" s="1"/>
      <c r="D890" s="1"/>
    </row>
    <row r="891" ht="15.75" customHeight="1">
      <c r="A891" s="1"/>
      <c r="B891" s="1"/>
      <c r="C891" s="1"/>
      <c r="D891" s="1"/>
    </row>
    <row r="892" ht="15.75" customHeight="1">
      <c r="A892" s="1"/>
      <c r="B892" s="1"/>
      <c r="C892" s="1"/>
      <c r="D892" s="1"/>
    </row>
    <row r="893" ht="15.75" customHeight="1">
      <c r="A893" s="1"/>
      <c r="B893" s="1"/>
      <c r="C893" s="1"/>
      <c r="D893" s="1"/>
    </row>
    <row r="894" ht="15.75" customHeight="1">
      <c r="A894" s="1"/>
      <c r="B894" s="1"/>
      <c r="C894" s="1"/>
      <c r="D894" s="1"/>
    </row>
    <row r="895" ht="15.75" customHeight="1">
      <c r="A895" s="1"/>
      <c r="B895" s="1"/>
      <c r="C895" s="1"/>
      <c r="D895" s="1"/>
    </row>
    <row r="896" ht="15.75" customHeight="1">
      <c r="A896" s="1"/>
      <c r="B896" s="1"/>
      <c r="C896" s="1"/>
      <c r="D896" s="1"/>
    </row>
    <row r="897" ht="15.75" customHeight="1">
      <c r="A897" s="1"/>
      <c r="B897" s="1"/>
      <c r="C897" s="1"/>
      <c r="D897" s="1"/>
    </row>
    <row r="898" ht="15.75" customHeight="1">
      <c r="A898" s="1"/>
      <c r="B898" s="1"/>
      <c r="C898" s="1"/>
      <c r="D898" s="1"/>
    </row>
    <row r="899" ht="15.75" customHeight="1">
      <c r="A899" s="1"/>
      <c r="B899" s="1"/>
      <c r="C899" s="1"/>
      <c r="D899" s="1"/>
    </row>
    <row r="900" ht="15.75" customHeight="1">
      <c r="A900" s="1"/>
      <c r="B900" s="1"/>
      <c r="C900" s="1"/>
      <c r="D900" s="1"/>
    </row>
    <row r="901" ht="15.75" customHeight="1">
      <c r="A901" s="1"/>
      <c r="B901" s="1"/>
      <c r="C901" s="1"/>
      <c r="D901" s="1"/>
    </row>
    <row r="902" ht="15.75" customHeight="1">
      <c r="A902" s="1"/>
      <c r="B902" s="1"/>
      <c r="C902" s="1"/>
      <c r="D902" s="1"/>
    </row>
    <row r="903" ht="15.75" customHeight="1">
      <c r="A903" s="1"/>
      <c r="B903" s="1"/>
      <c r="C903" s="1"/>
      <c r="D903" s="1"/>
    </row>
    <row r="904" ht="15.75" customHeight="1">
      <c r="A904" s="1"/>
      <c r="B904" s="1"/>
      <c r="C904" s="1"/>
      <c r="D904" s="1"/>
    </row>
    <row r="905" ht="15.75" customHeight="1">
      <c r="A905" s="1"/>
      <c r="B905" s="1"/>
      <c r="C905" s="1"/>
      <c r="D905" s="1"/>
    </row>
    <row r="906" ht="15.75" customHeight="1">
      <c r="A906" s="1"/>
      <c r="B906" s="1"/>
      <c r="C906" s="1"/>
      <c r="D906" s="1"/>
    </row>
    <row r="907" ht="15.75" customHeight="1">
      <c r="A907" s="1"/>
      <c r="B907" s="1"/>
      <c r="C907" s="1"/>
      <c r="D907" s="1"/>
    </row>
    <row r="908" ht="15.75" customHeight="1">
      <c r="A908" s="1"/>
      <c r="B908" s="1"/>
      <c r="C908" s="1"/>
      <c r="D908" s="1"/>
    </row>
    <row r="909" ht="15.75" customHeight="1">
      <c r="A909" s="1"/>
      <c r="B909" s="1"/>
      <c r="C909" s="1"/>
      <c r="D909" s="1"/>
    </row>
    <row r="910" ht="15.75" customHeight="1">
      <c r="A910" s="1"/>
      <c r="B910" s="1"/>
      <c r="C910" s="1"/>
      <c r="D910" s="1"/>
    </row>
    <row r="911" ht="15.75" customHeight="1">
      <c r="A911" s="1"/>
      <c r="B911" s="1"/>
      <c r="C911" s="1"/>
      <c r="D911" s="1"/>
    </row>
    <row r="912" ht="15.75" customHeight="1">
      <c r="A912" s="1"/>
      <c r="B912" s="1"/>
      <c r="C912" s="1"/>
      <c r="D912" s="1"/>
    </row>
    <row r="913" ht="15.75" customHeight="1">
      <c r="A913" s="1"/>
      <c r="B913" s="1"/>
      <c r="C913" s="1"/>
      <c r="D913" s="1"/>
    </row>
    <row r="914" ht="15.75" customHeight="1">
      <c r="A914" s="1"/>
      <c r="B914" s="1"/>
      <c r="C914" s="1"/>
      <c r="D914" s="1"/>
    </row>
    <row r="915" ht="15.75" customHeight="1">
      <c r="A915" s="1"/>
      <c r="B915" s="1"/>
      <c r="C915" s="1"/>
      <c r="D915" s="1"/>
    </row>
    <row r="916" ht="15.75" customHeight="1">
      <c r="A916" s="1"/>
      <c r="B916" s="1"/>
      <c r="C916" s="1"/>
      <c r="D916" s="1"/>
    </row>
    <row r="917" ht="15.75" customHeight="1">
      <c r="A917" s="1"/>
      <c r="B917" s="1"/>
      <c r="C917" s="1"/>
      <c r="D917" s="1"/>
    </row>
    <row r="918" ht="15.75" customHeight="1">
      <c r="A918" s="1"/>
      <c r="B918" s="1"/>
      <c r="C918" s="1"/>
      <c r="D918" s="1"/>
    </row>
    <row r="919" ht="15.75" customHeight="1">
      <c r="A919" s="1"/>
      <c r="B919" s="1"/>
      <c r="C919" s="1"/>
      <c r="D919" s="1"/>
    </row>
    <row r="920" ht="15.75" customHeight="1">
      <c r="A920" s="1"/>
      <c r="B920" s="1"/>
      <c r="C920" s="1"/>
      <c r="D920" s="1"/>
    </row>
    <row r="921" ht="15.75" customHeight="1">
      <c r="A921" s="1"/>
      <c r="B921" s="1"/>
      <c r="C921" s="1"/>
      <c r="D921" s="1"/>
    </row>
    <row r="922" ht="15.75" customHeight="1">
      <c r="A922" s="1"/>
      <c r="B922" s="1"/>
      <c r="C922" s="1"/>
      <c r="D922" s="1"/>
    </row>
    <row r="923" ht="15.75" customHeight="1">
      <c r="A923" s="1"/>
      <c r="B923" s="1"/>
      <c r="C923" s="1"/>
      <c r="D923" s="1"/>
    </row>
    <row r="924" ht="15.75" customHeight="1">
      <c r="A924" s="1"/>
      <c r="B924" s="1"/>
      <c r="C924" s="1"/>
      <c r="D924" s="1"/>
    </row>
    <row r="925" ht="15.75" customHeight="1">
      <c r="A925" s="1"/>
      <c r="B925" s="1"/>
      <c r="C925" s="1"/>
      <c r="D925" s="1"/>
    </row>
    <row r="926" ht="15.75" customHeight="1">
      <c r="A926" s="1"/>
      <c r="B926" s="1"/>
      <c r="C926" s="1"/>
      <c r="D926" s="1"/>
    </row>
    <row r="927" ht="15.75" customHeight="1">
      <c r="A927" s="1"/>
      <c r="B927" s="1"/>
      <c r="C927" s="1"/>
      <c r="D927" s="1"/>
    </row>
    <row r="928" ht="15.75" customHeight="1">
      <c r="A928" s="1"/>
      <c r="B928" s="1"/>
      <c r="C928" s="1"/>
      <c r="D928" s="1"/>
    </row>
    <row r="929" ht="15.75" customHeight="1">
      <c r="A929" s="1"/>
      <c r="B929" s="1"/>
      <c r="C929" s="1"/>
      <c r="D929" s="1"/>
    </row>
    <row r="930" ht="15.75" customHeight="1">
      <c r="A930" s="1"/>
      <c r="B930" s="1"/>
      <c r="C930" s="1"/>
      <c r="D930" s="1"/>
    </row>
    <row r="931" ht="15.75" customHeight="1">
      <c r="A931" s="1"/>
      <c r="B931" s="1"/>
      <c r="C931" s="1"/>
      <c r="D931" s="1"/>
    </row>
    <row r="932" ht="15.75" customHeight="1">
      <c r="A932" s="1"/>
      <c r="B932" s="1"/>
      <c r="C932" s="1"/>
      <c r="D932" s="1"/>
    </row>
    <row r="933" ht="15.75" customHeight="1">
      <c r="A933" s="1"/>
      <c r="B933" s="1"/>
      <c r="C933" s="1"/>
      <c r="D933" s="1"/>
    </row>
    <row r="934" ht="15.75" customHeight="1">
      <c r="A934" s="1"/>
      <c r="B934" s="1"/>
      <c r="C934" s="1"/>
      <c r="D934" s="1"/>
    </row>
    <row r="935" ht="15.75" customHeight="1">
      <c r="A935" s="1"/>
      <c r="B935" s="1"/>
      <c r="C935" s="1"/>
      <c r="D935" s="1"/>
    </row>
    <row r="936" ht="15.75" customHeight="1">
      <c r="A936" s="1"/>
      <c r="B936" s="1"/>
      <c r="C936" s="1"/>
      <c r="D936" s="1"/>
    </row>
    <row r="937" ht="15.75" customHeight="1">
      <c r="A937" s="1"/>
      <c r="B937" s="1"/>
      <c r="C937" s="1"/>
      <c r="D937" s="1"/>
    </row>
    <row r="938" ht="15.75" customHeight="1">
      <c r="A938" s="1"/>
      <c r="B938" s="1"/>
      <c r="C938" s="1"/>
      <c r="D938" s="1"/>
    </row>
    <row r="939" ht="15.75" customHeight="1">
      <c r="A939" s="1"/>
      <c r="B939" s="1"/>
      <c r="C939" s="1"/>
      <c r="D939" s="1"/>
    </row>
    <row r="940" ht="15.75" customHeight="1">
      <c r="A940" s="1"/>
      <c r="B940" s="1"/>
      <c r="C940" s="1"/>
      <c r="D940" s="1"/>
    </row>
    <row r="941" ht="15.75" customHeight="1">
      <c r="A941" s="1"/>
      <c r="B941" s="1"/>
      <c r="C941" s="1"/>
      <c r="D941" s="1"/>
    </row>
    <row r="942" ht="15.75" customHeight="1">
      <c r="A942" s="1"/>
      <c r="B942" s="1"/>
      <c r="C942" s="1"/>
      <c r="D942" s="1"/>
    </row>
    <row r="943" ht="15.75" customHeight="1">
      <c r="A943" s="1"/>
      <c r="B943" s="1"/>
      <c r="C943" s="1"/>
      <c r="D943" s="1"/>
    </row>
    <row r="944" ht="15.75" customHeight="1">
      <c r="A944" s="1"/>
      <c r="B944" s="1"/>
      <c r="C944" s="1"/>
      <c r="D944" s="1"/>
    </row>
    <row r="945" ht="15.75" customHeight="1">
      <c r="A945" s="1"/>
      <c r="B945" s="1"/>
      <c r="C945" s="1"/>
      <c r="D945" s="1"/>
    </row>
    <row r="946" ht="15.75" customHeight="1">
      <c r="A946" s="1"/>
      <c r="B946" s="1"/>
      <c r="C946" s="1"/>
      <c r="D946" s="1"/>
    </row>
    <row r="947" ht="15.75" customHeight="1">
      <c r="A947" s="1"/>
      <c r="B947" s="1"/>
      <c r="C947" s="1"/>
      <c r="D947" s="1"/>
    </row>
    <row r="948" ht="15.75" customHeight="1">
      <c r="A948" s="1"/>
      <c r="B948" s="1"/>
      <c r="C948" s="1"/>
      <c r="D948" s="1"/>
    </row>
    <row r="949" ht="15.75" customHeight="1">
      <c r="A949" s="1"/>
      <c r="B949" s="1"/>
      <c r="C949" s="1"/>
      <c r="D949" s="1"/>
    </row>
    <row r="950" ht="15.75" customHeight="1">
      <c r="A950" s="1"/>
      <c r="B950" s="1"/>
      <c r="C950" s="1"/>
      <c r="D950" s="1"/>
    </row>
    <row r="951" ht="15.75" customHeight="1">
      <c r="A951" s="1"/>
      <c r="B951" s="1"/>
      <c r="C951" s="1"/>
      <c r="D951" s="1"/>
    </row>
    <row r="952" ht="15.75" customHeight="1">
      <c r="A952" s="1"/>
      <c r="B952" s="1"/>
      <c r="C952" s="1"/>
      <c r="D952" s="1"/>
    </row>
    <row r="953" ht="15.75" customHeight="1">
      <c r="A953" s="1"/>
      <c r="B953" s="1"/>
      <c r="C953" s="1"/>
      <c r="D953" s="1"/>
    </row>
    <row r="954" ht="15.75" customHeight="1">
      <c r="A954" s="1"/>
      <c r="B954" s="1"/>
      <c r="C954" s="1"/>
      <c r="D954" s="1"/>
    </row>
    <row r="955" ht="15.75" customHeight="1">
      <c r="A955" s="1"/>
      <c r="B955" s="1"/>
      <c r="C955" s="1"/>
      <c r="D955" s="1"/>
    </row>
    <row r="956" ht="15.75" customHeight="1">
      <c r="A956" s="1"/>
      <c r="B956" s="1"/>
      <c r="C956" s="1"/>
      <c r="D956" s="1"/>
    </row>
    <row r="957" ht="15.75" customHeight="1">
      <c r="A957" s="1"/>
      <c r="B957" s="1"/>
      <c r="C957" s="1"/>
      <c r="D957" s="1"/>
    </row>
    <row r="958" ht="15.75" customHeight="1">
      <c r="A958" s="1"/>
      <c r="B958" s="1"/>
      <c r="C958" s="1"/>
      <c r="D958" s="1"/>
    </row>
    <row r="959" ht="15.75" customHeight="1">
      <c r="A959" s="1"/>
      <c r="B959" s="1"/>
      <c r="C959" s="1"/>
      <c r="D959" s="1"/>
    </row>
    <row r="960" ht="15.75" customHeight="1">
      <c r="A960" s="1"/>
      <c r="B960" s="1"/>
      <c r="C960" s="1"/>
      <c r="D960" s="1"/>
    </row>
    <row r="961" ht="15.75" customHeight="1">
      <c r="A961" s="1"/>
      <c r="B961" s="1"/>
      <c r="C961" s="1"/>
      <c r="D961" s="1"/>
    </row>
    <row r="962" ht="15.75" customHeight="1">
      <c r="A962" s="1"/>
      <c r="B962" s="1"/>
      <c r="C962" s="1"/>
      <c r="D962" s="1"/>
    </row>
    <row r="963" ht="15.75" customHeight="1">
      <c r="A963" s="1"/>
      <c r="B963" s="1"/>
      <c r="C963" s="1"/>
      <c r="D963" s="1"/>
    </row>
    <row r="964" ht="15.75" customHeight="1">
      <c r="A964" s="1"/>
      <c r="B964" s="1"/>
      <c r="C964" s="1"/>
      <c r="D964" s="1"/>
    </row>
    <row r="965" ht="15.75" customHeight="1">
      <c r="A965" s="1"/>
      <c r="B965" s="1"/>
      <c r="C965" s="1"/>
      <c r="D965" s="1"/>
    </row>
    <row r="966" ht="15.75" customHeight="1">
      <c r="A966" s="1"/>
      <c r="B966" s="1"/>
      <c r="C966" s="1"/>
      <c r="D966" s="1"/>
    </row>
    <row r="967" ht="15.75" customHeight="1">
      <c r="A967" s="1"/>
      <c r="B967" s="1"/>
      <c r="C967" s="1"/>
      <c r="D967" s="1"/>
    </row>
    <row r="968" ht="15.75" customHeight="1">
      <c r="A968" s="1"/>
      <c r="B968" s="1"/>
      <c r="C968" s="1"/>
      <c r="D968" s="1"/>
    </row>
    <row r="969" ht="15.75" customHeight="1">
      <c r="A969" s="1"/>
      <c r="B969" s="1"/>
      <c r="C969" s="1"/>
      <c r="D969" s="1"/>
    </row>
    <row r="970" ht="15.75" customHeight="1">
      <c r="A970" s="1"/>
      <c r="B970" s="1"/>
      <c r="C970" s="1"/>
      <c r="D970" s="1"/>
    </row>
    <row r="971" ht="15.75" customHeight="1">
      <c r="A971" s="1"/>
      <c r="B971" s="1"/>
      <c r="C971" s="1"/>
      <c r="D971" s="1"/>
    </row>
    <row r="972" ht="15.75" customHeight="1">
      <c r="A972" s="1"/>
      <c r="B972" s="1"/>
      <c r="C972" s="1"/>
      <c r="D972" s="1"/>
    </row>
    <row r="973" ht="15.75" customHeight="1">
      <c r="A973" s="1"/>
      <c r="B973" s="1"/>
      <c r="C973" s="1"/>
      <c r="D973" s="1"/>
    </row>
    <row r="974" ht="15.75" customHeight="1">
      <c r="A974" s="1"/>
      <c r="B974" s="1"/>
      <c r="C974" s="1"/>
      <c r="D974" s="1"/>
    </row>
    <row r="975" ht="15.75" customHeight="1">
      <c r="A975" s="1"/>
      <c r="B975" s="1"/>
      <c r="C975" s="1"/>
      <c r="D975" s="1"/>
    </row>
    <row r="976" ht="15.75" customHeight="1">
      <c r="A976" s="1"/>
      <c r="B976" s="1"/>
      <c r="C976" s="1"/>
      <c r="D976" s="1"/>
    </row>
    <row r="977" ht="15.75" customHeight="1">
      <c r="A977" s="1"/>
      <c r="B977" s="1"/>
      <c r="C977" s="1"/>
      <c r="D977" s="1"/>
    </row>
    <row r="978" ht="15.75" customHeight="1">
      <c r="A978" s="1"/>
      <c r="B978" s="1"/>
      <c r="C978" s="1"/>
      <c r="D978" s="1"/>
    </row>
    <row r="979" ht="15.75" customHeight="1">
      <c r="A979" s="1"/>
      <c r="B979" s="1"/>
      <c r="C979" s="1"/>
      <c r="D979" s="1"/>
    </row>
    <row r="980" ht="15.75" customHeight="1">
      <c r="A980" s="1"/>
      <c r="B980" s="1"/>
      <c r="C980" s="1"/>
      <c r="D980" s="1"/>
    </row>
    <row r="981" ht="15.75" customHeight="1">
      <c r="A981" s="1"/>
      <c r="B981" s="1"/>
      <c r="C981" s="1"/>
      <c r="D981" s="1"/>
    </row>
    <row r="982" ht="15.75" customHeight="1">
      <c r="A982" s="1"/>
      <c r="B982" s="1"/>
      <c r="C982" s="1"/>
      <c r="D982" s="1"/>
    </row>
    <row r="983" ht="15.75" customHeight="1">
      <c r="A983" s="1"/>
      <c r="B983" s="1"/>
      <c r="C983" s="1"/>
      <c r="D983" s="1"/>
    </row>
    <row r="984" ht="15.75" customHeight="1">
      <c r="A984" s="1"/>
      <c r="B984" s="1"/>
      <c r="C984" s="1"/>
      <c r="D984" s="1"/>
    </row>
    <row r="985" ht="15.75" customHeight="1">
      <c r="A985" s="1"/>
      <c r="B985" s="1"/>
      <c r="C985" s="1"/>
      <c r="D985" s="1"/>
    </row>
    <row r="986" ht="15.75" customHeight="1">
      <c r="A986" s="1"/>
      <c r="B986" s="1"/>
      <c r="C986" s="1"/>
      <c r="D986" s="1"/>
    </row>
    <row r="987" ht="15.75" customHeight="1">
      <c r="A987" s="1"/>
      <c r="B987" s="1"/>
      <c r="C987" s="1"/>
      <c r="D987" s="1"/>
    </row>
    <row r="988" ht="15.75" customHeight="1">
      <c r="A988" s="1"/>
      <c r="B988" s="1"/>
      <c r="C988" s="1"/>
      <c r="D988" s="1"/>
    </row>
    <row r="989" ht="15.75" customHeight="1">
      <c r="A989" s="1"/>
      <c r="B989" s="1"/>
      <c r="C989" s="1"/>
      <c r="D989" s="1"/>
    </row>
    <row r="990" ht="15.75" customHeight="1">
      <c r="A990" s="1"/>
      <c r="B990" s="1"/>
      <c r="C990" s="1"/>
      <c r="D990" s="1"/>
    </row>
    <row r="991" ht="15.75" customHeight="1">
      <c r="A991" s="1"/>
      <c r="B991" s="1"/>
      <c r="C991" s="1"/>
      <c r="D991" s="1"/>
    </row>
    <row r="992" ht="15.75" customHeight="1">
      <c r="A992" s="1"/>
      <c r="B992" s="1"/>
      <c r="C992" s="1"/>
      <c r="D992" s="1"/>
    </row>
    <row r="993" ht="15.75" customHeight="1">
      <c r="A993" s="1"/>
      <c r="B993" s="1"/>
      <c r="C993" s="1"/>
      <c r="D993" s="1"/>
    </row>
    <row r="994" ht="15.75" customHeight="1">
      <c r="A994" s="1"/>
      <c r="B994" s="1"/>
      <c r="C994" s="1"/>
      <c r="D994" s="1"/>
    </row>
    <row r="995" ht="15.75" customHeight="1">
      <c r="A995" s="1"/>
      <c r="B995" s="1"/>
      <c r="C995" s="1"/>
      <c r="D995" s="1"/>
    </row>
    <row r="996" ht="15.75" customHeight="1">
      <c r="A996" s="1"/>
      <c r="B996" s="1"/>
      <c r="C996" s="1"/>
      <c r="D996" s="1"/>
    </row>
    <row r="997" ht="15.75" customHeight="1">
      <c r="A997" s="1"/>
      <c r="B997" s="1"/>
      <c r="C997" s="1"/>
      <c r="D997" s="1"/>
    </row>
    <row r="998" ht="15.75" customHeight="1">
      <c r="A998" s="1"/>
      <c r="B998" s="1"/>
      <c r="C998" s="1"/>
      <c r="D998" s="1"/>
    </row>
    <row r="999" ht="15.75" customHeight="1">
      <c r="A999" s="1"/>
      <c r="B999" s="1"/>
      <c r="C999" s="1"/>
      <c r="D999" s="1"/>
    </row>
    <row r="1000" ht="15.75" customHeight="1">
      <c r="A1000" s="1"/>
      <c r="B1000" s="1"/>
      <c r="C1000" s="1"/>
      <c r="D1000" s="1"/>
    </row>
    <row r="1001" ht="15.75" customHeight="1">
      <c r="A1001" s="1"/>
      <c r="B1001" s="1"/>
      <c r="C1001" s="1"/>
      <c r="D1001" s="1"/>
    </row>
  </sheetData>
  <mergeCells count="142">
    <mergeCell ref="B205:C205"/>
    <mergeCell ref="B206:C206"/>
    <mergeCell ref="B215:C215"/>
    <mergeCell ref="B216:C216"/>
    <mergeCell ref="B225:C225"/>
    <mergeCell ref="B226:C226"/>
    <mergeCell ref="B235:C235"/>
    <mergeCell ref="B236:C236"/>
    <mergeCell ref="B245:C245"/>
    <mergeCell ref="B246:C246"/>
    <mergeCell ref="B255:C255"/>
    <mergeCell ref="B256:C256"/>
    <mergeCell ref="B265:C265"/>
    <mergeCell ref="B266:C266"/>
    <mergeCell ref="B275:C275"/>
    <mergeCell ref="B276:C276"/>
    <mergeCell ref="B285:C285"/>
    <mergeCell ref="B286:C286"/>
    <mergeCell ref="B295:C295"/>
    <mergeCell ref="B296:C296"/>
    <mergeCell ref="B305:C305"/>
    <mergeCell ref="B306:C306"/>
    <mergeCell ref="B315:C315"/>
    <mergeCell ref="B316:C316"/>
    <mergeCell ref="B325:C325"/>
    <mergeCell ref="B326:C326"/>
    <mergeCell ref="B335:C335"/>
    <mergeCell ref="B336:C336"/>
    <mergeCell ref="B345:C345"/>
    <mergeCell ref="B346:C346"/>
    <mergeCell ref="B355:C355"/>
    <mergeCell ref="B356:C356"/>
    <mergeCell ref="B365:C365"/>
    <mergeCell ref="B366:C366"/>
    <mergeCell ref="B375:C375"/>
    <mergeCell ref="B376:C376"/>
    <mergeCell ref="B385:C385"/>
    <mergeCell ref="B386:C386"/>
    <mergeCell ref="B395:C395"/>
    <mergeCell ref="B396:C396"/>
    <mergeCell ref="B405:C405"/>
    <mergeCell ref="B406:C406"/>
    <mergeCell ref="B415:C415"/>
    <mergeCell ref="B416:C416"/>
    <mergeCell ref="B425:C425"/>
    <mergeCell ref="B426:C426"/>
    <mergeCell ref="B435:C435"/>
    <mergeCell ref="B436:C436"/>
    <mergeCell ref="B445:C445"/>
    <mergeCell ref="B446:C446"/>
    <mergeCell ref="B455:C455"/>
    <mergeCell ref="B456:C456"/>
    <mergeCell ref="B465:C465"/>
    <mergeCell ref="B466:C466"/>
    <mergeCell ref="B475:C475"/>
    <mergeCell ref="B476:C476"/>
    <mergeCell ref="B507:C507"/>
    <mergeCell ref="B516:C516"/>
    <mergeCell ref="B517:C517"/>
    <mergeCell ref="B518:C518"/>
    <mergeCell ref="B519:C519"/>
    <mergeCell ref="B528:C528"/>
    <mergeCell ref="B529:C529"/>
    <mergeCell ref="B530:C530"/>
    <mergeCell ref="B531:C531"/>
    <mergeCell ref="B540:C540"/>
    <mergeCell ref="B541:C541"/>
    <mergeCell ref="B542:C542"/>
    <mergeCell ref="B543:C543"/>
    <mergeCell ref="B552:C552"/>
    <mergeCell ref="B553:C553"/>
    <mergeCell ref="B554:C554"/>
    <mergeCell ref="B555:C555"/>
    <mergeCell ref="B564:C564"/>
    <mergeCell ref="B565:C565"/>
    <mergeCell ref="B566:C566"/>
    <mergeCell ref="B567:C567"/>
    <mergeCell ref="B576:C576"/>
    <mergeCell ref="B577:C577"/>
    <mergeCell ref="B578:C578"/>
    <mergeCell ref="B579:C579"/>
    <mergeCell ref="B588:C588"/>
    <mergeCell ref="B589:C589"/>
    <mergeCell ref="B590:C590"/>
    <mergeCell ref="B614:C614"/>
    <mergeCell ref="B615:C615"/>
    <mergeCell ref="B591:C591"/>
    <mergeCell ref="B600:C600"/>
    <mergeCell ref="B601:C601"/>
    <mergeCell ref="B602:C602"/>
    <mergeCell ref="B603:C603"/>
    <mergeCell ref="B612:C612"/>
    <mergeCell ref="B613:C613"/>
    <mergeCell ref="B2:C2"/>
    <mergeCell ref="B3:C3"/>
    <mergeCell ref="B5:C5"/>
    <mergeCell ref="B6:C6"/>
    <mergeCell ref="B15:C15"/>
    <mergeCell ref="B16:C16"/>
    <mergeCell ref="B25:C25"/>
    <mergeCell ref="B26:C26"/>
    <mergeCell ref="B35:C35"/>
    <mergeCell ref="B36:C36"/>
    <mergeCell ref="B45:C45"/>
    <mergeCell ref="B46:C46"/>
    <mergeCell ref="B55:C55"/>
    <mergeCell ref="B56:C56"/>
    <mergeCell ref="B65:C65"/>
    <mergeCell ref="B66:C66"/>
    <mergeCell ref="B75:C75"/>
    <mergeCell ref="B76:C76"/>
    <mergeCell ref="B85:C85"/>
    <mergeCell ref="B86:C86"/>
    <mergeCell ref="B95:C95"/>
    <mergeCell ref="B96:C96"/>
    <mergeCell ref="B105:C105"/>
    <mergeCell ref="B106:C106"/>
    <mergeCell ref="B115:C115"/>
    <mergeCell ref="B116:C116"/>
    <mergeCell ref="B125:C125"/>
    <mergeCell ref="B126:C126"/>
    <mergeCell ref="B135:C135"/>
    <mergeCell ref="B136:C136"/>
    <mergeCell ref="B145:C145"/>
    <mergeCell ref="B146:C146"/>
    <mergeCell ref="B155:C155"/>
    <mergeCell ref="B156:C156"/>
    <mergeCell ref="B165:C165"/>
    <mergeCell ref="B166:C166"/>
    <mergeCell ref="B175:C175"/>
    <mergeCell ref="B176:C176"/>
    <mergeCell ref="B185:C185"/>
    <mergeCell ref="B186:C186"/>
    <mergeCell ref="B195:C195"/>
    <mergeCell ref="B196:C196"/>
    <mergeCell ref="B485:C485"/>
    <mergeCell ref="B486:C486"/>
    <mergeCell ref="B495:C495"/>
    <mergeCell ref="B496:C496"/>
    <mergeCell ref="B504:C504"/>
    <mergeCell ref="B505:C505"/>
    <mergeCell ref="B506:C506"/>
  </mergeCells>
  <conditionalFormatting sqref="C12">
    <cfRule type="expression" dxfId="0" priority="1">
      <formula>C11="A"</formula>
    </cfRule>
  </conditionalFormatting>
  <conditionalFormatting sqref="C12">
    <cfRule type="expression" dxfId="1" priority="2">
      <formula>AND(C11&lt;&gt;"",C11&lt;&gt;"A")</formula>
    </cfRule>
  </conditionalFormatting>
  <conditionalFormatting sqref="C22">
    <cfRule type="expression" dxfId="0" priority="3">
      <formula>C21="C"</formula>
    </cfRule>
  </conditionalFormatting>
  <conditionalFormatting sqref="C22">
    <cfRule type="expression" dxfId="1" priority="4">
      <formula>AND(C21&lt;&gt;"",C21&lt;&gt;"C")</formula>
    </cfRule>
  </conditionalFormatting>
  <conditionalFormatting sqref="C32">
    <cfRule type="expression" dxfId="0" priority="5">
      <formula>C31="A"</formula>
    </cfRule>
  </conditionalFormatting>
  <conditionalFormatting sqref="C32">
    <cfRule type="expression" dxfId="1" priority="6">
      <formula>AND(C31&lt;&gt;"",C31&lt;&gt;"A")</formula>
    </cfRule>
  </conditionalFormatting>
  <conditionalFormatting sqref="C42">
    <cfRule type="expression" dxfId="0" priority="7">
      <formula>C41="B"</formula>
    </cfRule>
  </conditionalFormatting>
  <conditionalFormatting sqref="C42">
    <cfRule type="expression" dxfId="1" priority="8">
      <formula>AND(C41&lt;&gt;"",C41&lt;&gt;"B")</formula>
    </cfRule>
  </conditionalFormatting>
  <conditionalFormatting sqref="C52">
    <cfRule type="expression" dxfId="0" priority="9">
      <formula>C51="C"</formula>
    </cfRule>
  </conditionalFormatting>
  <conditionalFormatting sqref="C52">
    <cfRule type="expression" dxfId="1" priority="10">
      <formula>AND(C51&lt;&gt;"",C51&lt;&gt;"C")</formula>
    </cfRule>
  </conditionalFormatting>
  <conditionalFormatting sqref="C62">
    <cfRule type="expression" dxfId="0" priority="11">
      <formula>C61="B"</formula>
    </cfRule>
  </conditionalFormatting>
  <conditionalFormatting sqref="C62">
    <cfRule type="expression" dxfId="1" priority="12">
      <formula>AND(C61&lt;&gt;"",C61&lt;&gt;"B")</formula>
    </cfRule>
  </conditionalFormatting>
  <conditionalFormatting sqref="C72">
    <cfRule type="expression" dxfId="0" priority="13">
      <formula>C71="A"</formula>
    </cfRule>
  </conditionalFormatting>
  <conditionalFormatting sqref="C72">
    <cfRule type="expression" dxfId="1" priority="14">
      <formula>AND(C71&lt;&gt;"",C71&lt;&gt;"A")</formula>
    </cfRule>
  </conditionalFormatting>
  <conditionalFormatting sqref="C82">
    <cfRule type="expression" dxfId="0" priority="15">
      <formula>C81="A"</formula>
    </cfRule>
  </conditionalFormatting>
  <conditionalFormatting sqref="C82">
    <cfRule type="expression" dxfId="1" priority="16">
      <formula>AND(C81&lt;&gt;"",C81&lt;&gt;"A")</formula>
    </cfRule>
  </conditionalFormatting>
  <conditionalFormatting sqref="C92">
    <cfRule type="expression" dxfId="0" priority="17">
      <formula>C91="C"</formula>
    </cfRule>
  </conditionalFormatting>
  <conditionalFormatting sqref="C92">
    <cfRule type="expression" dxfId="1" priority="18">
      <formula>AND(C91&lt;&gt;"",C91&lt;&gt;"C")</formula>
    </cfRule>
  </conditionalFormatting>
  <conditionalFormatting sqref="C102">
    <cfRule type="expression" dxfId="0" priority="19">
      <formula>C101="A"</formula>
    </cfRule>
  </conditionalFormatting>
  <conditionalFormatting sqref="C102">
    <cfRule type="expression" dxfId="1" priority="20">
      <formula>AND(C101&lt;&gt;"",C101&lt;&gt;"A")</formula>
    </cfRule>
  </conditionalFormatting>
  <conditionalFormatting sqref="C112">
    <cfRule type="expression" dxfId="0" priority="21">
      <formula>C111="D"</formula>
    </cfRule>
  </conditionalFormatting>
  <conditionalFormatting sqref="C112">
    <cfRule type="expression" dxfId="1" priority="22">
      <formula>AND(C111&lt;&gt;"",C111&lt;&gt;"D")</formula>
    </cfRule>
  </conditionalFormatting>
  <conditionalFormatting sqref="C122">
    <cfRule type="expression" dxfId="0" priority="23">
      <formula>C121="A"</formula>
    </cfRule>
  </conditionalFormatting>
  <conditionalFormatting sqref="C122">
    <cfRule type="expression" dxfId="1" priority="24">
      <formula>AND(C121&lt;&gt;"",C121&lt;&gt;"A")</formula>
    </cfRule>
  </conditionalFormatting>
  <conditionalFormatting sqref="C132">
    <cfRule type="expression" dxfId="0" priority="25">
      <formula>C131="A"</formula>
    </cfRule>
  </conditionalFormatting>
  <conditionalFormatting sqref="C132">
    <cfRule type="expression" dxfId="1" priority="26">
      <formula>AND(C131&lt;&gt;"",C131&lt;&gt;"A")</formula>
    </cfRule>
  </conditionalFormatting>
  <conditionalFormatting sqref="C142">
    <cfRule type="expression" dxfId="0" priority="27">
      <formula>C141="A"</formula>
    </cfRule>
  </conditionalFormatting>
  <conditionalFormatting sqref="C142">
    <cfRule type="expression" dxfId="1" priority="28">
      <formula>AND(C141&lt;&gt;"",C141&lt;&gt;"A")</formula>
    </cfRule>
  </conditionalFormatting>
  <conditionalFormatting sqref="C152">
    <cfRule type="expression" dxfId="0" priority="29">
      <formula>C151="B"</formula>
    </cfRule>
  </conditionalFormatting>
  <conditionalFormatting sqref="C152">
    <cfRule type="expression" dxfId="1" priority="30">
      <formula>AND(C151&lt;&gt;"",C151&lt;&gt;"B")</formula>
    </cfRule>
  </conditionalFormatting>
  <conditionalFormatting sqref="C162">
    <cfRule type="expression" dxfId="0" priority="31">
      <formula>C161="B"</formula>
    </cfRule>
  </conditionalFormatting>
  <conditionalFormatting sqref="C162">
    <cfRule type="expression" dxfId="1" priority="32">
      <formula>AND(C161&lt;&gt;"",C161&lt;&gt;"B")</formula>
    </cfRule>
  </conditionalFormatting>
  <conditionalFormatting sqref="C172">
    <cfRule type="expression" dxfId="0" priority="33">
      <formula>C171="B"</formula>
    </cfRule>
  </conditionalFormatting>
  <conditionalFormatting sqref="C172">
    <cfRule type="expression" dxfId="1" priority="34">
      <formula>AND(C171&lt;&gt;"",C171&lt;&gt;"B")</formula>
    </cfRule>
  </conditionalFormatting>
  <conditionalFormatting sqref="C182">
    <cfRule type="expression" dxfId="0" priority="35">
      <formula>C181="C"</formula>
    </cfRule>
  </conditionalFormatting>
  <conditionalFormatting sqref="C182">
    <cfRule type="expression" dxfId="1" priority="36">
      <formula>AND(C181&lt;&gt;"",C181&lt;&gt;"C")</formula>
    </cfRule>
  </conditionalFormatting>
  <conditionalFormatting sqref="C192">
    <cfRule type="expression" dxfId="0" priority="37">
      <formula>C191="B"</formula>
    </cfRule>
  </conditionalFormatting>
  <conditionalFormatting sqref="C192">
    <cfRule type="expression" dxfId="1" priority="38">
      <formula>AND(C191&lt;&gt;"",C191&lt;&gt;"B")</formula>
    </cfRule>
  </conditionalFormatting>
  <conditionalFormatting sqref="C202">
    <cfRule type="expression" dxfId="0" priority="39">
      <formula>C201="B"</formula>
    </cfRule>
  </conditionalFormatting>
  <conditionalFormatting sqref="C202">
    <cfRule type="expression" dxfId="1" priority="40">
      <formula>AND(C201&lt;&gt;"",C201&lt;&gt;"B")</formula>
    </cfRule>
  </conditionalFormatting>
  <conditionalFormatting sqref="C212">
    <cfRule type="expression" dxfId="0" priority="41">
      <formula>C211="B"</formula>
    </cfRule>
  </conditionalFormatting>
  <conditionalFormatting sqref="C212">
    <cfRule type="expression" dxfId="1" priority="42">
      <formula>AND(C211&lt;&gt;"",C211&lt;&gt;"B")</formula>
    </cfRule>
  </conditionalFormatting>
  <conditionalFormatting sqref="C222">
    <cfRule type="expression" dxfId="0" priority="43">
      <formula>C221="B"</formula>
    </cfRule>
  </conditionalFormatting>
  <conditionalFormatting sqref="C222">
    <cfRule type="expression" dxfId="1" priority="44">
      <formula>AND(C221&lt;&gt;"",C221&lt;&gt;"B")</formula>
    </cfRule>
  </conditionalFormatting>
  <conditionalFormatting sqref="C232">
    <cfRule type="expression" dxfId="0" priority="45">
      <formula>C231="B"</formula>
    </cfRule>
  </conditionalFormatting>
  <conditionalFormatting sqref="C232">
    <cfRule type="expression" dxfId="1" priority="46">
      <formula>AND(C231&lt;&gt;"",C231&lt;&gt;"B")</formula>
    </cfRule>
  </conditionalFormatting>
  <conditionalFormatting sqref="C242">
    <cfRule type="expression" dxfId="0" priority="47">
      <formula>C241="B"</formula>
    </cfRule>
  </conditionalFormatting>
  <conditionalFormatting sqref="C242">
    <cfRule type="expression" dxfId="1" priority="48">
      <formula>AND(C241&lt;&gt;"",C241&lt;&gt;"B")</formula>
    </cfRule>
  </conditionalFormatting>
  <conditionalFormatting sqref="C252">
    <cfRule type="expression" dxfId="0" priority="49">
      <formula>C251="B"</formula>
    </cfRule>
  </conditionalFormatting>
  <conditionalFormatting sqref="C252">
    <cfRule type="expression" dxfId="1" priority="50">
      <formula>AND(C251&lt;&gt;"",C251&lt;&gt;"B")</formula>
    </cfRule>
  </conditionalFormatting>
  <conditionalFormatting sqref="C262">
    <cfRule type="expression" dxfId="0" priority="51">
      <formula>C261="B"</formula>
    </cfRule>
  </conditionalFormatting>
  <conditionalFormatting sqref="C262">
    <cfRule type="expression" dxfId="1" priority="52">
      <formula>AND(C261&lt;&gt;"",C261&lt;&gt;"B")</formula>
    </cfRule>
  </conditionalFormatting>
  <conditionalFormatting sqref="C272">
    <cfRule type="expression" dxfId="0" priority="53">
      <formula>C271="B"</formula>
    </cfRule>
  </conditionalFormatting>
  <conditionalFormatting sqref="C272">
    <cfRule type="expression" dxfId="1" priority="54">
      <formula>AND(C271&lt;&gt;"",C271&lt;&gt;"B")</formula>
    </cfRule>
  </conditionalFormatting>
  <conditionalFormatting sqref="C282">
    <cfRule type="expression" dxfId="0" priority="55">
      <formula>C281="B"</formula>
    </cfRule>
  </conditionalFormatting>
  <conditionalFormatting sqref="C282">
    <cfRule type="expression" dxfId="1" priority="56">
      <formula>AND(C281&lt;&gt;"",C281&lt;&gt;"B")</formula>
    </cfRule>
  </conditionalFormatting>
  <conditionalFormatting sqref="C292">
    <cfRule type="expression" dxfId="0" priority="57">
      <formula>C291="B"</formula>
    </cfRule>
  </conditionalFormatting>
  <conditionalFormatting sqref="C292">
    <cfRule type="expression" dxfId="1" priority="58">
      <formula>AND(C291&lt;&gt;"",C291&lt;&gt;"B")</formula>
    </cfRule>
  </conditionalFormatting>
  <conditionalFormatting sqref="C302">
    <cfRule type="expression" dxfId="0" priority="59">
      <formula>C301="B"</formula>
    </cfRule>
  </conditionalFormatting>
  <conditionalFormatting sqref="C302">
    <cfRule type="expression" dxfId="1" priority="60">
      <formula>AND(C301&lt;&gt;"",C301&lt;&gt;"B")</formula>
    </cfRule>
  </conditionalFormatting>
  <conditionalFormatting sqref="C312">
    <cfRule type="expression" dxfId="0" priority="61">
      <formula>C311="B"</formula>
    </cfRule>
  </conditionalFormatting>
  <conditionalFormatting sqref="C312">
    <cfRule type="expression" dxfId="1" priority="62">
      <formula>AND(C311&lt;&gt;"",C311&lt;&gt;"B")</formula>
    </cfRule>
  </conditionalFormatting>
  <conditionalFormatting sqref="C322">
    <cfRule type="expression" dxfId="0" priority="63">
      <formula>C321="B"</formula>
    </cfRule>
  </conditionalFormatting>
  <conditionalFormatting sqref="C322">
    <cfRule type="expression" dxfId="1" priority="64">
      <formula>AND(C321&lt;&gt;"",C321&lt;&gt;"B")</formula>
    </cfRule>
  </conditionalFormatting>
  <conditionalFormatting sqref="C332">
    <cfRule type="expression" dxfId="0" priority="65">
      <formula>C331="B"</formula>
    </cfRule>
  </conditionalFormatting>
  <conditionalFormatting sqref="C332">
    <cfRule type="expression" dxfId="1" priority="66">
      <formula>AND(C331&lt;&gt;"",C331&lt;&gt;"B")</formula>
    </cfRule>
  </conditionalFormatting>
  <conditionalFormatting sqref="C342">
    <cfRule type="expression" dxfId="0" priority="67">
      <formula>C341="B"</formula>
    </cfRule>
  </conditionalFormatting>
  <conditionalFormatting sqref="C342">
    <cfRule type="expression" dxfId="1" priority="68">
      <formula>AND(C341&lt;&gt;"",C341&lt;&gt;"B")</formula>
    </cfRule>
  </conditionalFormatting>
  <conditionalFormatting sqref="C352">
    <cfRule type="expression" dxfId="0" priority="69">
      <formula>C351="B"</formula>
    </cfRule>
  </conditionalFormatting>
  <conditionalFormatting sqref="C352">
    <cfRule type="expression" dxfId="1" priority="70">
      <formula>AND(C351&lt;&gt;"",C351&lt;&gt;"B")</formula>
    </cfRule>
  </conditionalFormatting>
  <conditionalFormatting sqref="C362">
    <cfRule type="expression" dxfId="0" priority="71">
      <formula>C361="B"</formula>
    </cfRule>
  </conditionalFormatting>
  <conditionalFormatting sqref="C362">
    <cfRule type="expression" dxfId="1" priority="72">
      <formula>AND(C361&lt;&gt;"",C361&lt;&gt;"B")</formula>
    </cfRule>
  </conditionalFormatting>
  <conditionalFormatting sqref="C372">
    <cfRule type="expression" dxfId="0" priority="73">
      <formula>C371="B"</formula>
    </cfRule>
  </conditionalFormatting>
  <conditionalFormatting sqref="C372">
    <cfRule type="expression" dxfId="1" priority="74">
      <formula>AND(C371&lt;&gt;"",C371&lt;&gt;"B")</formula>
    </cfRule>
  </conditionalFormatting>
  <conditionalFormatting sqref="C382">
    <cfRule type="expression" dxfId="0" priority="75">
      <formula>C381="B"</formula>
    </cfRule>
  </conditionalFormatting>
  <conditionalFormatting sqref="C382">
    <cfRule type="expression" dxfId="1" priority="76">
      <formula>AND(C381&lt;&gt;"",C381&lt;&gt;"B")</formula>
    </cfRule>
  </conditionalFormatting>
  <conditionalFormatting sqref="C392">
    <cfRule type="expression" dxfId="0" priority="77">
      <formula>C391="B"</formula>
    </cfRule>
  </conditionalFormatting>
  <conditionalFormatting sqref="C392">
    <cfRule type="expression" dxfId="1" priority="78">
      <formula>AND(C391&lt;&gt;"",C391&lt;&gt;"B")</formula>
    </cfRule>
  </conditionalFormatting>
  <conditionalFormatting sqref="C402">
    <cfRule type="expression" dxfId="0" priority="79">
      <formula>C401="B"</formula>
    </cfRule>
  </conditionalFormatting>
  <conditionalFormatting sqref="C402">
    <cfRule type="expression" dxfId="1" priority="80">
      <formula>AND(C401&lt;&gt;"",C401&lt;&gt;"B")</formula>
    </cfRule>
  </conditionalFormatting>
  <conditionalFormatting sqref="C412">
    <cfRule type="expression" dxfId="0" priority="81">
      <formula>C411="B"</formula>
    </cfRule>
  </conditionalFormatting>
  <conditionalFormatting sqref="C412">
    <cfRule type="expression" dxfId="1" priority="82">
      <formula>AND(C411&lt;&gt;"",C411&lt;&gt;"B")</formula>
    </cfRule>
  </conditionalFormatting>
  <conditionalFormatting sqref="C422">
    <cfRule type="expression" dxfId="0" priority="83">
      <formula>C421="B"</formula>
    </cfRule>
  </conditionalFormatting>
  <conditionalFormatting sqref="C422">
    <cfRule type="expression" dxfId="1" priority="84">
      <formula>AND(C421&lt;&gt;"",C421&lt;&gt;"B")</formula>
    </cfRule>
  </conditionalFormatting>
  <conditionalFormatting sqref="C432">
    <cfRule type="expression" dxfId="0" priority="85">
      <formula>C431="C"</formula>
    </cfRule>
  </conditionalFormatting>
  <conditionalFormatting sqref="C432">
    <cfRule type="expression" dxfId="1" priority="86">
      <formula>AND(C431&lt;&gt;"",C431&lt;&gt;"C")</formula>
    </cfRule>
  </conditionalFormatting>
  <conditionalFormatting sqref="C442">
    <cfRule type="expression" dxfId="0" priority="87">
      <formula>C441="B"</formula>
    </cfRule>
  </conditionalFormatting>
  <conditionalFormatting sqref="C442">
    <cfRule type="expression" dxfId="1" priority="88">
      <formula>AND(C441&lt;&gt;"",C441&lt;&gt;"B")</formula>
    </cfRule>
  </conditionalFormatting>
  <conditionalFormatting sqref="C452">
    <cfRule type="expression" dxfId="0" priority="89">
      <formula>C451="B"</formula>
    </cfRule>
  </conditionalFormatting>
  <conditionalFormatting sqref="C452">
    <cfRule type="expression" dxfId="1" priority="90">
      <formula>AND(C451&lt;&gt;"",C451&lt;&gt;"B")</formula>
    </cfRule>
  </conditionalFormatting>
  <conditionalFormatting sqref="C462">
    <cfRule type="expression" dxfId="0" priority="91">
      <formula>C461="B"</formula>
    </cfRule>
  </conditionalFormatting>
  <conditionalFormatting sqref="C462">
    <cfRule type="expression" dxfId="1" priority="92">
      <formula>AND(C461&lt;&gt;"",C461&lt;&gt;"B")</formula>
    </cfRule>
  </conditionalFormatting>
  <conditionalFormatting sqref="C472">
    <cfRule type="expression" dxfId="0" priority="93">
      <formula>C471="B"</formula>
    </cfRule>
  </conditionalFormatting>
  <conditionalFormatting sqref="C472">
    <cfRule type="expression" dxfId="1" priority="94">
      <formula>AND(C471&lt;&gt;"",C471&lt;&gt;"B")</formula>
    </cfRule>
  </conditionalFormatting>
  <conditionalFormatting sqref="C482">
    <cfRule type="expression" dxfId="0" priority="95">
      <formula>C481="B"</formula>
    </cfRule>
  </conditionalFormatting>
  <conditionalFormatting sqref="C482">
    <cfRule type="expression" dxfId="1" priority="96">
      <formula>AND(C481&lt;&gt;"",C481&lt;&gt;"B")</formula>
    </cfRule>
  </conditionalFormatting>
  <conditionalFormatting sqref="C492">
    <cfRule type="expression" dxfId="0" priority="97">
      <formula>C491="B"</formula>
    </cfRule>
  </conditionalFormatting>
  <conditionalFormatting sqref="C492">
    <cfRule type="expression" dxfId="1" priority="98">
      <formula>AND(C491&lt;&gt;"",C491&lt;&gt;"B")</formula>
    </cfRule>
  </conditionalFormatting>
  <conditionalFormatting sqref="C502">
    <cfRule type="expression" dxfId="0" priority="99">
      <formula>C501="B"</formula>
    </cfRule>
  </conditionalFormatting>
  <conditionalFormatting sqref="C502">
    <cfRule type="expression" dxfId="1" priority="100">
      <formula>AND(C501&lt;&gt;"",C501&lt;&gt;"B")</formula>
    </cfRule>
  </conditionalFormatting>
  <dataValidations>
    <dataValidation type="list" allowBlank="1" sqref="C11 C21 C31 C41 C51 C61 C71 C81 C91 C101 C111 C121 C131 C141 C151 C161 C171 C181 C191 C201 C211 C221 C231 C241 C251 C261 C271 C281 C291 C301 C311 C321 C331 C341 C351 C361 C371 C381 C391 C401 C411 C421 C431 C441 C451 C461 C471 C481 C491 C501 C512 C524 C536 C548 C560 C572 C584 C596 C608 C620">
      <formula1>"A,B,C,D"</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30.0"/>
    <col customWidth="1" min="3" max="5" width="22.0"/>
    <col customWidth="1" min="6" max="26" width="8.71"/>
  </cols>
  <sheetData>
    <row r="1" ht="43.5" customHeight="1">
      <c r="A1" s="1"/>
      <c r="B1" s="38"/>
      <c r="C1" s="38"/>
      <c r="D1" s="38"/>
      <c r="E1" s="38"/>
    </row>
    <row r="2" ht="43.5" customHeight="1">
      <c r="A2" s="1"/>
      <c r="B2" s="39" t="s">
        <v>738</v>
      </c>
      <c r="C2" s="40"/>
      <c r="D2" s="40"/>
      <c r="E2" s="5"/>
    </row>
    <row r="3" ht="36.0" customHeight="1">
      <c r="A3" s="1"/>
      <c r="B3" s="41" t="s">
        <v>739</v>
      </c>
      <c r="C3" s="42" t="s">
        <v>740</v>
      </c>
      <c r="D3" s="42" t="s">
        <v>741</v>
      </c>
      <c r="E3" s="42" t="s">
        <v>742</v>
      </c>
    </row>
    <row r="4" ht="36.0" customHeight="1">
      <c r="A4" s="1"/>
      <c r="B4" s="43" t="s">
        <v>743</v>
      </c>
      <c r="C4" s="44">
        <v>50.0</v>
      </c>
      <c r="D4" s="44">
        <v>50.0</v>
      </c>
      <c r="E4" s="44">
        <v>60.0</v>
      </c>
    </row>
    <row r="5" ht="36.0" customHeight="1">
      <c r="A5" s="1"/>
      <c r="B5" s="43" t="s">
        <v>744</v>
      </c>
      <c r="C5" s="44">
        <f>COUNTIF('問題集①'!C:C,"✅*")</f>
        <v>0</v>
      </c>
      <c r="D5" s="44">
        <f>COUNTIF('問題集②'!C:C,"✅*")</f>
        <v>0</v>
      </c>
      <c r="E5" s="44">
        <f>COUNTIF('問題集③（余った問題）'!C:C,"✅*")</f>
        <v>0</v>
      </c>
    </row>
    <row r="6" ht="36.0" customHeight="1">
      <c r="A6" s="1"/>
      <c r="B6" s="43" t="s">
        <v>745</v>
      </c>
      <c r="C6" s="44">
        <f>COUNTIF('問題集①'!C:C,"❌*")</f>
        <v>0</v>
      </c>
      <c r="D6" s="44">
        <f>COUNTIF('問題集②'!C:C,"❌*")</f>
        <v>0</v>
      </c>
      <c r="E6" s="44">
        <f>COUNTIF('問題集③（余った問題）'!C:C,"❌*")</f>
        <v>0</v>
      </c>
    </row>
    <row r="7" ht="36.0" customHeight="1">
      <c r="A7" s="1"/>
      <c r="B7" s="43" t="s">
        <v>746</v>
      </c>
      <c r="C7" s="44">
        <f>50-COUNTIF('問題集①'!C:C,"✅*")-COUNTIF('問題集①'!C:C,"❌*")</f>
        <v>50</v>
      </c>
      <c r="D7" s="44">
        <f>50-COUNTIF('問題集②'!C:C,"✅*")-COUNTIF('問題集②'!C:C,"❌*")</f>
        <v>50</v>
      </c>
      <c r="E7" s="44">
        <f>50-COUNTIF('問題集③（余った問題）'!C:C,"✅*")-COUNTIF('問題集③（余った問題）'!C:C,"❌*")</f>
        <v>50</v>
      </c>
    </row>
    <row r="8" ht="36.0" customHeight="1">
      <c r="A8" s="1"/>
      <c r="B8" s="43" t="s">
        <v>747</v>
      </c>
      <c r="C8" s="45">
        <f>IFERROR(COUNTIF('問題集①'!C:C,"✅*")/50,0)</f>
        <v>0</v>
      </c>
      <c r="D8" s="45">
        <f>IFERROR(COUNTIF('問題集②'!C:C,"✅*")/50,0)</f>
        <v>0</v>
      </c>
      <c r="E8" s="45">
        <f>IFERROR(COUNTIF('問題集③（余った問題）'!C:C,"✅*")/50,0)</f>
        <v>0</v>
      </c>
    </row>
    <row r="9">
      <c r="A9" s="1"/>
      <c r="B9" s="1"/>
      <c r="C9" s="1"/>
      <c r="D9" s="1"/>
      <c r="E9" s="1"/>
    </row>
    <row r="10" ht="91.5" customHeight="1">
      <c r="A10" s="1"/>
      <c r="B10" s="46" t="s">
        <v>748</v>
      </c>
    </row>
    <row r="11">
      <c r="A11" s="1"/>
      <c r="B11" s="1"/>
      <c r="C11" s="1"/>
      <c r="D11" s="1"/>
      <c r="E11" s="1"/>
    </row>
    <row r="12">
      <c r="A12" s="1"/>
      <c r="B12" s="1"/>
      <c r="C12" s="1"/>
      <c r="D12" s="1"/>
      <c r="E12" s="1"/>
    </row>
    <row r="13">
      <c r="A13" s="1"/>
      <c r="B13" s="1"/>
      <c r="C13" s="1"/>
      <c r="D13" s="1"/>
      <c r="E13" s="1"/>
    </row>
    <row r="14">
      <c r="A14" s="1"/>
      <c r="B14" s="1"/>
      <c r="C14" s="1"/>
      <c r="D14" s="1"/>
      <c r="E14" s="1"/>
    </row>
    <row r="15">
      <c r="A15" s="1"/>
      <c r="B15" s="1"/>
      <c r="C15" s="1"/>
      <c r="D15" s="1"/>
      <c r="E15" s="1"/>
    </row>
    <row r="16">
      <c r="A16" s="1"/>
      <c r="B16" s="1"/>
      <c r="C16" s="1"/>
      <c r="D16" s="1"/>
      <c r="E16" s="1"/>
    </row>
    <row r="17">
      <c r="A17" s="1"/>
      <c r="B17" s="1"/>
      <c r="C17" s="1"/>
      <c r="D17" s="1"/>
      <c r="E17" s="1"/>
    </row>
    <row r="18">
      <c r="A18" s="1"/>
      <c r="B18" s="1"/>
      <c r="C18" s="1"/>
      <c r="D18" s="1"/>
      <c r="E18" s="1"/>
    </row>
    <row r="19">
      <c r="A19" s="1"/>
      <c r="B19" s="1"/>
      <c r="C19" s="1"/>
      <c r="D19" s="1"/>
      <c r="E19" s="1"/>
    </row>
    <row r="20">
      <c r="A20" s="1"/>
      <c r="B20" s="1"/>
      <c r="C20" s="1"/>
      <c r="D20" s="1"/>
      <c r="E20" s="1"/>
    </row>
    <row r="21">
      <c r="A21" s="1"/>
      <c r="B21" s="1"/>
      <c r="C21" s="1"/>
      <c r="D21" s="1"/>
      <c r="E21" s="1"/>
    </row>
    <row r="22" ht="15.75" customHeight="1">
      <c r="A22" s="1"/>
      <c r="B22" s="1"/>
      <c r="C22" s="1"/>
      <c r="D22" s="1"/>
      <c r="E22" s="1"/>
    </row>
    <row r="23" ht="15.75" customHeight="1">
      <c r="A23" s="1"/>
      <c r="B23" s="1"/>
      <c r="C23" s="1"/>
      <c r="D23" s="1"/>
      <c r="E23" s="1"/>
    </row>
    <row r="24" ht="15.75" customHeight="1">
      <c r="A24" s="1"/>
      <c r="B24" s="1"/>
      <c r="C24" s="1"/>
      <c r="D24" s="1"/>
      <c r="E24" s="1"/>
    </row>
    <row r="25" ht="15.75" customHeight="1">
      <c r="A25" s="1"/>
      <c r="B25" s="1"/>
      <c r="C25" s="1"/>
      <c r="D25" s="1"/>
      <c r="E25" s="1"/>
    </row>
    <row r="26" ht="15.75" customHeight="1">
      <c r="A26" s="1"/>
      <c r="B26" s="1"/>
      <c r="C26" s="1"/>
      <c r="D26" s="1"/>
      <c r="E26" s="1"/>
    </row>
    <row r="27" ht="15.75" customHeight="1">
      <c r="A27" s="1"/>
      <c r="B27" s="1"/>
      <c r="C27" s="1"/>
      <c r="D27" s="1"/>
      <c r="E27" s="1"/>
    </row>
    <row r="28" ht="15.75" customHeight="1">
      <c r="A28" s="1"/>
      <c r="B28" s="1"/>
      <c r="C28" s="1"/>
      <c r="D28" s="1"/>
      <c r="E28" s="1"/>
    </row>
    <row r="29" ht="15.75" customHeight="1">
      <c r="A29" s="1"/>
      <c r="B29" s="1"/>
      <c r="C29" s="1"/>
      <c r="D29" s="1"/>
      <c r="E29" s="1"/>
    </row>
    <row r="30" ht="15.75" customHeight="1">
      <c r="A30" s="1"/>
      <c r="B30" s="1"/>
      <c r="C30" s="1"/>
      <c r="D30" s="1"/>
      <c r="E30" s="1"/>
    </row>
    <row r="31" ht="15.75" customHeight="1">
      <c r="A31" s="1"/>
      <c r="B31" s="1"/>
      <c r="C31" s="1"/>
      <c r="D31" s="1"/>
      <c r="E31" s="1"/>
    </row>
    <row r="32" ht="15.75" customHeight="1">
      <c r="A32" s="1"/>
      <c r="B32" s="1"/>
      <c r="C32" s="1"/>
      <c r="D32" s="1"/>
      <c r="E32" s="1"/>
    </row>
    <row r="33" ht="15.75" customHeight="1">
      <c r="A33" s="1"/>
      <c r="B33" s="1"/>
      <c r="C33" s="1"/>
      <c r="D33" s="1"/>
      <c r="E33" s="1"/>
    </row>
    <row r="34" ht="15.75" customHeight="1">
      <c r="A34" s="1"/>
      <c r="B34" s="1"/>
      <c r="C34" s="1"/>
      <c r="D34" s="1"/>
      <c r="E34" s="1"/>
    </row>
    <row r="35" ht="15.75" customHeight="1">
      <c r="A35" s="1"/>
      <c r="B35" s="1"/>
      <c r="C35" s="1"/>
      <c r="D35" s="1"/>
      <c r="E35" s="1"/>
    </row>
    <row r="36" ht="15.75" customHeight="1">
      <c r="A36" s="1"/>
      <c r="B36" s="1"/>
      <c r="C36" s="1"/>
      <c r="D36" s="1"/>
      <c r="E36" s="1"/>
    </row>
    <row r="37" ht="15.75" customHeight="1">
      <c r="A37" s="1"/>
      <c r="B37" s="1"/>
      <c r="C37" s="1"/>
      <c r="D37" s="1"/>
      <c r="E37" s="1"/>
    </row>
    <row r="38" ht="15.75" customHeight="1">
      <c r="A38" s="1"/>
      <c r="B38" s="1"/>
      <c r="C38" s="1"/>
      <c r="D38" s="1"/>
      <c r="E38" s="1"/>
    </row>
    <row r="39" ht="15.75" customHeight="1">
      <c r="A39" s="1"/>
      <c r="B39" s="1"/>
      <c r="C39" s="1"/>
      <c r="D39" s="1"/>
      <c r="E39" s="1"/>
    </row>
    <row r="40" ht="15.75" customHeight="1">
      <c r="A40" s="1"/>
      <c r="B40" s="1"/>
      <c r="C40" s="1"/>
      <c r="D40" s="1"/>
      <c r="E40" s="1"/>
    </row>
    <row r="41" ht="15.75" customHeight="1">
      <c r="A41" s="1"/>
      <c r="B41" s="1"/>
      <c r="C41" s="1"/>
      <c r="D41" s="1"/>
      <c r="E41" s="1"/>
    </row>
    <row r="42" ht="15.75" customHeight="1">
      <c r="A42" s="1"/>
      <c r="B42" s="1"/>
      <c r="C42" s="1"/>
      <c r="D42" s="1"/>
      <c r="E42" s="1"/>
    </row>
    <row r="43" ht="15.75" customHeight="1">
      <c r="A43" s="1"/>
      <c r="B43" s="1"/>
      <c r="C43" s="1"/>
      <c r="D43" s="1"/>
      <c r="E43" s="1"/>
    </row>
    <row r="44" ht="15.75" customHeight="1">
      <c r="A44" s="1"/>
      <c r="B44" s="1"/>
      <c r="C44" s="1"/>
      <c r="D44" s="1"/>
      <c r="E44" s="1"/>
    </row>
    <row r="45" ht="15.75" customHeight="1">
      <c r="A45" s="1"/>
      <c r="B45" s="1"/>
      <c r="C45" s="1"/>
      <c r="D45" s="1"/>
      <c r="E45" s="1"/>
    </row>
    <row r="46" ht="15.75" customHeight="1">
      <c r="A46" s="1"/>
      <c r="B46" s="1"/>
      <c r="C46" s="1"/>
      <c r="D46" s="1"/>
      <c r="E46" s="1"/>
    </row>
    <row r="47" ht="15.75" customHeight="1">
      <c r="A47" s="1"/>
      <c r="B47" s="1"/>
      <c r="C47" s="1"/>
      <c r="D47" s="1"/>
      <c r="E47" s="1"/>
    </row>
    <row r="48" ht="15.75" customHeight="1">
      <c r="A48" s="1"/>
      <c r="B48" s="1"/>
      <c r="C48" s="1"/>
      <c r="D48" s="1"/>
      <c r="E48" s="1"/>
    </row>
    <row r="49" ht="15.75" customHeight="1">
      <c r="A49" s="1"/>
      <c r="B49" s="1"/>
      <c r="C49" s="1"/>
      <c r="D49" s="1"/>
      <c r="E49" s="1"/>
    </row>
    <row r="50" ht="15.75" customHeight="1">
      <c r="A50" s="1"/>
      <c r="B50" s="1"/>
      <c r="C50" s="1"/>
      <c r="D50" s="1"/>
      <c r="E50" s="1"/>
    </row>
    <row r="51" ht="15.75" customHeight="1">
      <c r="A51" s="1"/>
      <c r="B51" s="1"/>
      <c r="C51" s="1"/>
      <c r="D51" s="1"/>
      <c r="E51" s="1"/>
    </row>
    <row r="52" ht="15.75" customHeight="1">
      <c r="A52" s="1"/>
      <c r="B52" s="1"/>
      <c r="C52" s="1"/>
      <c r="D52" s="1"/>
      <c r="E52" s="1"/>
    </row>
    <row r="53" ht="15.75" customHeight="1">
      <c r="A53" s="1"/>
      <c r="B53" s="1"/>
      <c r="C53" s="1"/>
      <c r="D53" s="1"/>
      <c r="E53" s="1"/>
    </row>
    <row r="54" ht="15.75" customHeight="1">
      <c r="A54" s="1"/>
      <c r="B54" s="1"/>
      <c r="C54" s="1"/>
      <c r="D54" s="1"/>
      <c r="E54" s="1"/>
    </row>
    <row r="55" ht="15.75" customHeight="1">
      <c r="A55" s="1"/>
      <c r="B55" s="1"/>
      <c r="C55" s="1"/>
      <c r="D55" s="1"/>
      <c r="E55" s="1"/>
    </row>
    <row r="56" ht="15.75" customHeight="1">
      <c r="A56" s="1"/>
      <c r="B56" s="1"/>
      <c r="C56" s="1"/>
      <c r="D56" s="1"/>
      <c r="E56" s="1"/>
    </row>
    <row r="57" ht="15.75" customHeight="1">
      <c r="A57" s="1"/>
      <c r="B57" s="1"/>
      <c r="C57" s="1"/>
      <c r="D57" s="1"/>
      <c r="E57" s="1"/>
    </row>
    <row r="58" ht="15.75" customHeight="1">
      <c r="A58" s="1"/>
      <c r="B58" s="1"/>
      <c r="C58" s="1"/>
      <c r="D58" s="1"/>
      <c r="E58" s="1"/>
    </row>
    <row r="59" ht="15.75" customHeight="1">
      <c r="A59" s="1"/>
      <c r="B59" s="1"/>
      <c r="C59" s="1"/>
      <c r="D59" s="1"/>
      <c r="E59" s="1"/>
    </row>
    <row r="60" ht="15.75" customHeight="1">
      <c r="A60" s="1"/>
      <c r="B60" s="1"/>
      <c r="C60" s="1"/>
      <c r="D60" s="1"/>
      <c r="E60" s="1"/>
    </row>
    <row r="61" ht="15.75" customHeight="1">
      <c r="A61" s="1"/>
      <c r="B61" s="1"/>
      <c r="C61" s="1"/>
      <c r="D61" s="1"/>
      <c r="E61" s="1"/>
    </row>
    <row r="62" ht="15.75" customHeight="1">
      <c r="A62" s="1"/>
      <c r="B62" s="1"/>
      <c r="C62" s="1"/>
      <c r="D62" s="1"/>
      <c r="E62" s="1"/>
    </row>
    <row r="63" ht="15.75" customHeight="1">
      <c r="A63" s="1"/>
      <c r="B63" s="1"/>
      <c r="C63" s="1"/>
      <c r="D63" s="1"/>
      <c r="E63" s="1"/>
    </row>
    <row r="64" ht="15.75" customHeight="1">
      <c r="A64" s="1"/>
      <c r="B64" s="1"/>
      <c r="C64" s="1"/>
      <c r="D64" s="1"/>
      <c r="E64" s="1"/>
    </row>
    <row r="65" ht="15.75" customHeight="1">
      <c r="A65" s="1"/>
      <c r="B65" s="1"/>
      <c r="C65" s="1"/>
      <c r="D65" s="1"/>
      <c r="E65" s="1"/>
    </row>
    <row r="66" ht="15.75" customHeight="1">
      <c r="A66" s="1"/>
      <c r="B66" s="1"/>
      <c r="C66" s="1"/>
      <c r="D66" s="1"/>
      <c r="E66" s="1"/>
    </row>
    <row r="67" ht="15.75" customHeight="1">
      <c r="A67" s="1"/>
      <c r="B67" s="1"/>
      <c r="C67" s="1"/>
      <c r="D67" s="1"/>
      <c r="E67" s="1"/>
    </row>
    <row r="68" ht="15.75" customHeight="1">
      <c r="A68" s="1"/>
      <c r="B68" s="1"/>
      <c r="C68" s="1"/>
      <c r="D68" s="1"/>
      <c r="E68" s="1"/>
    </row>
    <row r="69" ht="15.75" customHeight="1">
      <c r="A69" s="1"/>
      <c r="B69" s="1"/>
      <c r="C69" s="1"/>
      <c r="D69" s="1"/>
      <c r="E69" s="1"/>
    </row>
    <row r="70" ht="15.75" customHeight="1">
      <c r="A70" s="1"/>
      <c r="B70" s="1"/>
      <c r="C70" s="1"/>
      <c r="D70" s="1"/>
      <c r="E70" s="1"/>
    </row>
    <row r="71" ht="15.75" customHeight="1">
      <c r="A71" s="1"/>
      <c r="B71" s="1"/>
      <c r="C71" s="1"/>
      <c r="D71" s="1"/>
      <c r="E71" s="1"/>
    </row>
    <row r="72" ht="15.75" customHeight="1">
      <c r="A72" s="1"/>
      <c r="B72" s="1"/>
      <c r="C72" s="1"/>
      <c r="D72" s="1"/>
      <c r="E72" s="1"/>
    </row>
    <row r="73" ht="15.75" customHeight="1">
      <c r="A73" s="1"/>
      <c r="B73" s="1"/>
      <c r="C73" s="1"/>
      <c r="D73" s="1"/>
      <c r="E73" s="1"/>
    </row>
    <row r="74" ht="15.75" customHeight="1">
      <c r="A74" s="1"/>
      <c r="B74" s="1"/>
      <c r="C74" s="1"/>
      <c r="D74" s="1"/>
      <c r="E74" s="1"/>
    </row>
    <row r="75" ht="15.75" customHeight="1">
      <c r="A75" s="1"/>
      <c r="B75" s="1"/>
      <c r="C75" s="1"/>
      <c r="D75" s="1"/>
      <c r="E75" s="1"/>
    </row>
    <row r="76" ht="15.75" customHeight="1">
      <c r="A76" s="1"/>
      <c r="B76" s="1"/>
      <c r="C76" s="1"/>
      <c r="D76" s="1"/>
      <c r="E76" s="1"/>
    </row>
    <row r="77" ht="15.75" customHeight="1">
      <c r="A77" s="1"/>
      <c r="B77" s="1"/>
      <c r="C77" s="1"/>
      <c r="D77" s="1"/>
      <c r="E77" s="1"/>
    </row>
    <row r="78" ht="15.75" customHeight="1">
      <c r="A78" s="1"/>
      <c r="B78" s="1"/>
      <c r="C78" s="1"/>
      <c r="D78" s="1"/>
      <c r="E78" s="1"/>
    </row>
    <row r="79" ht="15.75" customHeight="1">
      <c r="A79" s="1"/>
      <c r="B79" s="1"/>
      <c r="C79" s="1"/>
      <c r="D79" s="1"/>
      <c r="E79" s="1"/>
    </row>
    <row r="80" ht="15.75" customHeight="1">
      <c r="A80" s="1"/>
      <c r="B80" s="1"/>
      <c r="C80" s="1"/>
      <c r="D80" s="1"/>
      <c r="E80" s="1"/>
    </row>
    <row r="81" ht="15.75" customHeight="1">
      <c r="A81" s="1"/>
      <c r="B81" s="1"/>
      <c r="C81" s="1"/>
      <c r="D81" s="1"/>
      <c r="E81" s="1"/>
    </row>
    <row r="82" ht="15.75" customHeight="1">
      <c r="A82" s="1"/>
      <c r="B82" s="1"/>
      <c r="C82" s="1"/>
      <c r="D82" s="1"/>
      <c r="E82" s="1"/>
    </row>
    <row r="83" ht="15.75" customHeight="1">
      <c r="A83" s="1"/>
      <c r="B83" s="1"/>
      <c r="C83" s="1"/>
      <c r="D83" s="1"/>
      <c r="E83" s="1"/>
    </row>
    <row r="84" ht="15.75" customHeight="1">
      <c r="A84" s="1"/>
      <c r="B84" s="1"/>
      <c r="C84" s="1"/>
      <c r="D84" s="1"/>
      <c r="E84" s="1"/>
    </row>
    <row r="85" ht="15.75" customHeight="1">
      <c r="A85" s="1"/>
      <c r="B85" s="1"/>
      <c r="C85" s="1"/>
      <c r="D85" s="1"/>
      <c r="E85" s="1"/>
    </row>
    <row r="86" ht="15.75" customHeight="1">
      <c r="A86" s="1"/>
      <c r="B86" s="1"/>
      <c r="C86" s="1"/>
      <c r="D86" s="1"/>
      <c r="E86" s="1"/>
    </row>
    <row r="87" ht="15.75" customHeight="1">
      <c r="A87" s="1"/>
      <c r="B87" s="1"/>
      <c r="C87" s="1"/>
      <c r="D87" s="1"/>
      <c r="E87" s="1"/>
    </row>
    <row r="88" ht="15.75" customHeight="1">
      <c r="A88" s="1"/>
      <c r="B88" s="1"/>
      <c r="C88" s="1"/>
      <c r="D88" s="1"/>
      <c r="E88" s="1"/>
    </row>
    <row r="89" ht="15.75" customHeight="1">
      <c r="A89" s="1"/>
      <c r="B89" s="1"/>
      <c r="C89" s="1"/>
      <c r="D89" s="1"/>
      <c r="E89" s="1"/>
    </row>
    <row r="90" ht="15.75" customHeight="1">
      <c r="A90" s="1"/>
      <c r="B90" s="1"/>
      <c r="C90" s="1"/>
      <c r="D90" s="1"/>
      <c r="E90" s="1"/>
    </row>
    <row r="91" ht="15.75" customHeight="1">
      <c r="A91" s="1"/>
      <c r="B91" s="1"/>
      <c r="C91" s="1"/>
      <c r="D91" s="1"/>
      <c r="E91" s="1"/>
    </row>
    <row r="92" ht="15.75" customHeight="1">
      <c r="A92" s="1"/>
      <c r="B92" s="1"/>
      <c r="C92" s="1"/>
      <c r="D92" s="1"/>
      <c r="E92" s="1"/>
    </row>
    <row r="93" ht="15.75" customHeight="1">
      <c r="A93" s="1"/>
      <c r="B93" s="1"/>
      <c r="C93" s="1"/>
      <c r="D93" s="1"/>
      <c r="E93" s="1"/>
    </row>
    <row r="94" ht="15.75" customHeight="1">
      <c r="A94" s="1"/>
      <c r="B94" s="1"/>
      <c r="C94" s="1"/>
      <c r="D94" s="1"/>
      <c r="E94" s="1"/>
    </row>
    <row r="95" ht="15.75" customHeight="1">
      <c r="A95" s="1"/>
      <c r="B95" s="1"/>
      <c r="C95" s="1"/>
      <c r="D95" s="1"/>
      <c r="E95" s="1"/>
    </row>
    <row r="96" ht="15.75" customHeight="1">
      <c r="A96" s="1"/>
      <c r="B96" s="1"/>
      <c r="C96" s="1"/>
      <c r="D96" s="1"/>
      <c r="E96" s="1"/>
    </row>
    <row r="97" ht="15.75" customHeight="1">
      <c r="A97" s="1"/>
      <c r="B97" s="1"/>
      <c r="C97" s="1"/>
      <c r="D97" s="1"/>
      <c r="E97" s="1"/>
    </row>
    <row r="98" ht="15.75" customHeight="1">
      <c r="A98" s="1"/>
      <c r="B98" s="1"/>
      <c r="C98" s="1"/>
      <c r="D98" s="1"/>
      <c r="E98" s="1"/>
    </row>
    <row r="99" ht="15.75" customHeight="1">
      <c r="A99" s="1"/>
      <c r="B99" s="1"/>
      <c r="C99" s="1"/>
      <c r="D99" s="1"/>
      <c r="E99" s="1"/>
    </row>
    <row r="100" ht="15.75" customHeight="1">
      <c r="A100" s="1"/>
      <c r="B100" s="1"/>
      <c r="C100" s="1"/>
      <c r="D100" s="1"/>
      <c r="E100" s="1"/>
    </row>
    <row r="101" ht="15.75" customHeight="1">
      <c r="A101" s="1"/>
      <c r="B101" s="1"/>
      <c r="C101" s="1"/>
      <c r="D101" s="1"/>
      <c r="E101" s="1"/>
    </row>
    <row r="102" ht="15.75" customHeight="1">
      <c r="A102" s="1"/>
      <c r="B102" s="1"/>
      <c r="C102" s="1"/>
      <c r="D102" s="1"/>
      <c r="E102" s="1"/>
    </row>
    <row r="103" ht="15.75" customHeight="1">
      <c r="A103" s="1"/>
      <c r="B103" s="1"/>
      <c r="C103" s="1"/>
      <c r="D103" s="1"/>
      <c r="E103" s="1"/>
    </row>
    <row r="104" ht="15.75" customHeight="1">
      <c r="A104" s="1"/>
      <c r="B104" s="1"/>
      <c r="C104" s="1"/>
      <c r="D104" s="1"/>
      <c r="E104" s="1"/>
    </row>
    <row r="105" ht="15.75" customHeight="1">
      <c r="A105" s="1"/>
      <c r="B105" s="1"/>
      <c r="C105" s="1"/>
      <c r="D105" s="1"/>
      <c r="E105" s="1"/>
    </row>
    <row r="106" ht="15.75" customHeight="1">
      <c r="A106" s="1"/>
      <c r="B106" s="1"/>
      <c r="C106" s="1"/>
      <c r="D106" s="1"/>
      <c r="E106" s="1"/>
    </row>
    <row r="107" ht="15.75" customHeight="1">
      <c r="A107" s="1"/>
      <c r="B107" s="1"/>
      <c r="C107" s="1"/>
      <c r="D107" s="1"/>
      <c r="E107" s="1"/>
    </row>
    <row r="108" ht="15.75" customHeight="1">
      <c r="A108" s="1"/>
      <c r="B108" s="1"/>
      <c r="C108" s="1"/>
      <c r="D108" s="1"/>
      <c r="E108" s="1"/>
    </row>
    <row r="109" ht="15.75" customHeight="1">
      <c r="A109" s="1"/>
      <c r="B109" s="1"/>
      <c r="C109" s="1"/>
      <c r="D109" s="1"/>
      <c r="E109" s="1"/>
    </row>
    <row r="110" ht="15.75" customHeight="1">
      <c r="A110" s="1"/>
      <c r="B110" s="1"/>
      <c r="C110" s="1"/>
      <c r="D110" s="1"/>
      <c r="E110" s="1"/>
    </row>
    <row r="111" ht="15.75" customHeight="1">
      <c r="A111" s="1"/>
      <c r="B111" s="1"/>
      <c r="C111" s="1"/>
      <c r="D111" s="1"/>
      <c r="E111" s="1"/>
    </row>
    <row r="112" ht="15.75" customHeight="1">
      <c r="A112" s="1"/>
      <c r="B112" s="1"/>
      <c r="C112" s="1"/>
      <c r="D112" s="1"/>
      <c r="E112" s="1"/>
    </row>
    <row r="113" ht="15.75" customHeight="1">
      <c r="A113" s="1"/>
      <c r="B113" s="1"/>
      <c r="C113" s="1"/>
      <c r="D113" s="1"/>
      <c r="E113" s="1"/>
    </row>
    <row r="114" ht="15.75" customHeight="1">
      <c r="A114" s="1"/>
      <c r="B114" s="1"/>
      <c r="C114" s="1"/>
      <c r="D114" s="1"/>
      <c r="E114" s="1"/>
    </row>
    <row r="115" ht="15.75" customHeight="1">
      <c r="A115" s="1"/>
      <c r="B115" s="1"/>
      <c r="C115" s="1"/>
      <c r="D115" s="1"/>
      <c r="E115" s="1"/>
    </row>
    <row r="116" ht="15.75" customHeight="1">
      <c r="A116" s="1"/>
      <c r="B116" s="1"/>
      <c r="C116" s="1"/>
      <c r="D116" s="1"/>
      <c r="E116" s="1"/>
    </row>
    <row r="117" ht="15.75" customHeight="1">
      <c r="A117" s="1"/>
      <c r="B117" s="1"/>
      <c r="C117" s="1"/>
      <c r="D117" s="1"/>
      <c r="E117" s="1"/>
    </row>
    <row r="118" ht="15.75" customHeight="1">
      <c r="A118" s="1"/>
      <c r="B118" s="1"/>
      <c r="C118" s="1"/>
      <c r="D118" s="1"/>
      <c r="E118" s="1"/>
    </row>
    <row r="119" ht="15.75" customHeight="1">
      <c r="A119" s="1"/>
      <c r="B119" s="1"/>
      <c r="C119" s="1"/>
      <c r="D119" s="1"/>
      <c r="E119" s="1"/>
    </row>
    <row r="120" ht="15.75" customHeight="1">
      <c r="A120" s="1"/>
      <c r="B120" s="1"/>
      <c r="C120" s="1"/>
      <c r="D120" s="1"/>
      <c r="E120" s="1"/>
    </row>
    <row r="121" ht="15.75" customHeight="1">
      <c r="A121" s="1"/>
      <c r="B121" s="1"/>
      <c r="C121" s="1"/>
      <c r="D121" s="1"/>
      <c r="E121" s="1"/>
    </row>
    <row r="122" ht="15.75" customHeight="1">
      <c r="A122" s="1"/>
      <c r="B122" s="1"/>
      <c r="C122" s="1"/>
      <c r="D122" s="1"/>
      <c r="E122" s="1"/>
    </row>
    <row r="123" ht="15.75" customHeight="1">
      <c r="A123" s="1"/>
      <c r="B123" s="1"/>
      <c r="C123" s="1"/>
      <c r="D123" s="1"/>
      <c r="E123" s="1"/>
    </row>
    <row r="124" ht="15.75" customHeight="1">
      <c r="A124" s="1"/>
      <c r="B124" s="1"/>
      <c r="C124" s="1"/>
      <c r="D124" s="1"/>
      <c r="E124" s="1"/>
    </row>
    <row r="125" ht="15.75" customHeight="1">
      <c r="A125" s="1"/>
      <c r="B125" s="1"/>
      <c r="C125" s="1"/>
      <c r="D125" s="1"/>
      <c r="E125" s="1"/>
    </row>
    <row r="126" ht="15.75" customHeight="1">
      <c r="A126" s="1"/>
      <c r="B126" s="1"/>
      <c r="C126" s="1"/>
      <c r="D126" s="1"/>
      <c r="E126" s="1"/>
    </row>
    <row r="127" ht="15.75" customHeight="1">
      <c r="A127" s="1"/>
      <c r="B127" s="1"/>
      <c r="C127" s="1"/>
      <c r="D127" s="1"/>
      <c r="E127" s="1"/>
    </row>
    <row r="128" ht="15.75" customHeight="1">
      <c r="A128" s="1"/>
      <c r="B128" s="1"/>
      <c r="C128" s="1"/>
      <c r="D128" s="1"/>
      <c r="E128" s="1"/>
    </row>
    <row r="129" ht="15.75" customHeight="1">
      <c r="A129" s="1"/>
      <c r="B129" s="1"/>
      <c r="C129" s="1"/>
      <c r="D129" s="1"/>
      <c r="E129" s="1"/>
    </row>
    <row r="130" ht="15.75" customHeight="1">
      <c r="A130" s="1"/>
      <c r="B130" s="1"/>
      <c r="C130" s="1"/>
      <c r="D130" s="1"/>
      <c r="E130" s="1"/>
    </row>
    <row r="131" ht="15.75" customHeight="1">
      <c r="A131" s="1"/>
      <c r="B131" s="1"/>
      <c r="C131" s="1"/>
      <c r="D131" s="1"/>
      <c r="E131" s="1"/>
    </row>
    <row r="132" ht="15.75" customHeight="1">
      <c r="A132" s="1"/>
      <c r="B132" s="1"/>
      <c r="C132" s="1"/>
      <c r="D132" s="1"/>
      <c r="E132" s="1"/>
    </row>
    <row r="133" ht="15.75" customHeight="1">
      <c r="A133" s="1"/>
      <c r="B133" s="1"/>
      <c r="C133" s="1"/>
      <c r="D133" s="1"/>
      <c r="E133" s="1"/>
    </row>
    <row r="134" ht="15.75" customHeight="1">
      <c r="A134" s="1"/>
      <c r="B134" s="1"/>
      <c r="C134" s="1"/>
      <c r="D134" s="1"/>
      <c r="E134" s="1"/>
    </row>
    <row r="135" ht="15.75" customHeight="1">
      <c r="A135" s="1"/>
      <c r="B135" s="1"/>
      <c r="C135" s="1"/>
      <c r="D135" s="1"/>
      <c r="E135" s="1"/>
    </row>
    <row r="136" ht="15.75" customHeight="1">
      <c r="A136" s="1"/>
      <c r="B136" s="1"/>
      <c r="C136" s="1"/>
      <c r="D136" s="1"/>
      <c r="E136" s="1"/>
    </row>
    <row r="137" ht="15.75" customHeight="1">
      <c r="A137" s="1"/>
      <c r="B137" s="1"/>
      <c r="C137" s="1"/>
      <c r="D137" s="1"/>
      <c r="E137" s="1"/>
    </row>
    <row r="138" ht="15.75" customHeight="1">
      <c r="A138" s="1"/>
      <c r="B138" s="1"/>
      <c r="C138" s="1"/>
      <c r="D138" s="1"/>
      <c r="E138" s="1"/>
    </row>
    <row r="139" ht="15.75" customHeight="1">
      <c r="A139" s="1"/>
      <c r="B139" s="1"/>
      <c r="C139" s="1"/>
      <c r="D139" s="1"/>
      <c r="E139" s="1"/>
    </row>
    <row r="140" ht="15.75" customHeight="1">
      <c r="A140" s="1"/>
      <c r="B140" s="1"/>
      <c r="C140" s="1"/>
      <c r="D140" s="1"/>
      <c r="E140" s="1"/>
    </row>
    <row r="141" ht="15.75" customHeight="1">
      <c r="A141" s="1"/>
      <c r="B141" s="1"/>
      <c r="C141" s="1"/>
      <c r="D141" s="1"/>
      <c r="E141" s="1"/>
    </row>
    <row r="142" ht="15.75" customHeight="1">
      <c r="A142" s="1"/>
      <c r="B142" s="1"/>
      <c r="C142" s="1"/>
      <c r="D142" s="1"/>
      <c r="E142" s="1"/>
    </row>
    <row r="143" ht="15.75" customHeight="1">
      <c r="A143" s="1"/>
      <c r="B143" s="1"/>
      <c r="C143" s="1"/>
      <c r="D143" s="1"/>
      <c r="E143" s="1"/>
    </row>
    <row r="144" ht="15.75" customHeight="1">
      <c r="A144" s="1"/>
      <c r="B144" s="1"/>
      <c r="C144" s="1"/>
      <c r="D144" s="1"/>
      <c r="E144" s="1"/>
    </row>
    <row r="145" ht="15.75" customHeight="1">
      <c r="A145" s="1"/>
      <c r="B145" s="1"/>
      <c r="C145" s="1"/>
      <c r="D145" s="1"/>
      <c r="E145" s="1"/>
    </row>
    <row r="146" ht="15.75" customHeight="1">
      <c r="A146" s="1"/>
      <c r="B146" s="1"/>
      <c r="C146" s="1"/>
      <c r="D146" s="1"/>
      <c r="E146" s="1"/>
    </row>
    <row r="147" ht="15.75" customHeight="1">
      <c r="A147" s="1"/>
      <c r="B147" s="1"/>
      <c r="C147" s="1"/>
      <c r="D147" s="1"/>
      <c r="E147" s="1"/>
    </row>
    <row r="148" ht="15.75" customHeight="1">
      <c r="A148" s="1"/>
      <c r="B148" s="1"/>
      <c r="C148" s="1"/>
      <c r="D148" s="1"/>
      <c r="E148" s="1"/>
    </row>
    <row r="149" ht="15.75" customHeight="1">
      <c r="A149" s="1"/>
      <c r="B149" s="1"/>
      <c r="C149" s="1"/>
      <c r="D149" s="1"/>
      <c r="E149" s="1"/>
    </row>
    <row r="150" ht="15.75" customHeight="1">
      <c r="A150" s="1"/>
      <c r="B150" s="1"/>
      <c r="C150" s="1"/>
      <c r="D150" s="1"/>
      <c r="E150" s="1"/>
    </row>
    <row r="151" ht="15.75" customHeight="1">
      <c r="A151" s="1"/>
      <c r="B151" s="1"/>
      <c r="C151" s="1"/>
      <c r="D151" s="1"/>
      <c r="E151" s="1"/>
    </row>
    <row r="152" ht="15.75" customHeight="1">
      <c r="A152" s="1"/>
      <c r="B152" s="1"/>
      <c r="C152" s="1"/>
      <c r="D152" s="1"/>
      <c r="E152" s="1"/>
    </row>
    <row r="153" ht="15.75" customHeight="1">
      <c r="A153" s="1"/>
      <c r="B153" s="1"/>
      <c r="C153" s="1"/>
      <c r="D153" s="1"/>
      <c r="E153" s="1"/>
    </row>
    <row r="154" ht="15.75" customHeight="1">
      <c r="A154" s="1"/>
      <c r="B154" s="1"/>
      <c r="C154" s="1"/>
      <c r="D154" s="1"/>
      <c r="E154" s="1"/>
    </row>
    <row r="155" ht="15.75" customHeight="1">
      <c r="A155" s="1"/>
      <c r="B155" s="1"/>
      <c r="C155" s="1"/>
      <c r="D155" s="1"/>
      <c r="E155" s="1"/>
    </row>
    <row r="156" ht="15.75" customHeight="1">
      <c r="A156" s="1"/>
      <c r="B156" s="1"/>
      <c r="C156" s="1"/>
      <c r="D156" s="1"/>
      <c r="E156" s="1"/>
    </row>
    <row r="157" ht="15.75" customHeight="1">
      <c r="A157" s="1"/>
      <c r="B157" s="1"/>
      <c r="C157" s="1"/>
      <c r="D157" s="1"/>
      <c r="E157" s="1"/>
    </row>
    <row r="158" ht="15.75" customHeight="1">
      <c r="A158" s="1"/>
      <c r="B158" s="1"/>
      <c r="C158" s="1"/>
      <c r="D158" s="1"/>
      <c r="E158" s="1"/>
    </row>
    <row r="159" ht="15.75" customHeight="1">
      <c r="A159" s="1"/>
      <c r="B159" s="1"/>
      <c r="C159" s="1"/>
      <c r="D159" s="1"/>
      <c r="E159" s="1"/>
    </row>
    <row r="160" ht="15.75" customHeight="1">
      <c r="A160" s="1"/>
      <c r="B160" s="1"/>
      <c r="C160" s="1"/>
      <c r="D160" s="1"/>
      <c r="E160" s="1"/>
    </row>
    <row r="161" ht="15.75" customHeight="1">
      <c r="A161" s="1"/>
      <c r="B161" s="1"/>
      <c r="C161" s="1"/>
      <c r="D161" s="1"/>
      <c r="E161" s="1"/>
    </row>
    <row r="162" ht="15.75" customHeight="1">
      <c r="A162" s="1"/>
      <c r="B162" s="1"/>
      <c r="C162" s="1"/>
      <c r="D162" s="1"/>
      <c r="E162" s="1"/>
    </row>
    <row r="163" ht="15.75" customHeight="1">
      <c r="A163" s="1"/>
      <c r="B163" s="1"/>
      <c r="C163" s="1"/>
      <c r="D163" s="1"/>
      <c r="E163" s="1"/>
    </row>
    <row r="164" ht="15.75" customHeight="1">
      <c r="A164" s="1"/>
      <c r="B164" s="1"/>
      <c r="C164" s="1"/>
      <c r="D164" s="1"/>
      <c r="E164" s="1"/>
    </row>
    <row r="165" ht="15.75" customHeight="1">
      <c r="A165" s="1"/>
      <c r="B165" s="1"/>
      <c r="C165" s="1"/>
      <c r="D165" s="1"/>
      <c r="E165" s="1"/>
    </row>
    <row r="166" ht="15.75" customHeight="1">
      <c r="A166" s="1"/>
      <c r="B166" s="1"/>
      <c r="C166" s="1"/>
      <c r="D166" s="1"/>
      <c r="E166" s="1"/>
    </row>
    <row r="167" ht="15.75" customHeight="1">
      <c r="A167" s="1"/>
      <c r="B167" s="1"/>
      <c r="C167" s="1"/>
      <c r="D167" s="1"/>
      <c r="E167" s="1"/>
    </row>
    <row r="168" ht="15.75" customHeight="1">
      <c r="A168" s="1"/>
      <c r="B168" s="1"/>
      <c r="C168" s="1"/>
      <c r="D168" s="1"/>
      <c r="E168" s="1"/>
    </row>
    <row r="169" ht="15.75" customHeight="1">
      <c r="A169" s="1"/>
      <c r="B169" s="1"/>
      <c r="C169" s="1"/>
      <c r="D169" s="1"/>
      <c r="E169" s="1"/>
    </row>
    <row r="170" ht="15.75" customHeight="1">
      <c r="A170" s="1"/>
      <c r="B170" s="1"/>
      <c r="C170" s="1"/>
      <c r="D170" s="1"/>
      <c r="E170" s="1"/>
    </row>
    <row r="171" ht="15.75" customHeight="1">
      <c r="A171" s="1"/>
      <c r="B171" s="1"/>
      <c r="C171" s="1"/>
      <c r="D171" s="1"/>
      <c r="E171" s="1"/>
    </row>
    <row r="172" ht="15.75" customHeight="1">
      <c r="A172" s="1"/>
      <c r="B172" s="1"/>
      <c r="C172" s="1"/>
      <c r="D172" s="1"/>
      <c r="E172" s="1"/>
    </row>
    <row r="173" ht="15.75" customHeight="1">
      <c r="A173" s="1"/>
      <c r="B173" s="1"/>
      <c r="C173" s="1"/>
      <c r="D173" s="1"/>
      <c r="E173" s="1"/>
    </row>
    <row r="174" ht="15.75" customHeight="1">
      <c r="A174" s="1"/>
      <c r="B174" s="1"/>
      <c r="C174" s="1"/>
      <c r="D174" s="1"/>
      <c r="E174" s="1"/>
    </row>
    <row r="175" ht="15.75" customHeight="1">
      <c r="A175" s="1"/>
      <c r="B175" s="1"/>
      <c r="C175" s="1"/>
      <c r="D175" s="1"/>
      <c r="E175" s="1"/>
    </row>
    <row r="176" ht="15.75" customHeight="1">
      <c r="A176" s="1"/>
      <c r="B176" s="1"/>
      <c r="C176" s="1"/>
      <c r="D176" s="1"/>
      <c r="E176" s="1"/>
    </row>
    <row r="177" ht="15.75" customHeight="1">
      <c r="A177" s="1"/>
      <c r="B177" s="1"/>
      <c r="C177" s="1"/>
      <c r="D177" s="1"/>
      <c r="E177" s="1"/>
    </row>
    <row r="178" ht="15.75" customHeight="1">
      <c r="A178" s="1"/>
      <c r="B178" s="1"/>
      <c r="C178" s="1"/>
      <c r="D178" s="1"/>
      <c r="E178" s="1"/>
    </row>
    <row r="179" ht="15.75" customHeight="1">
      <c r="A179" s="1"/>
      <c r="B179" s="1"/>
      <c r="C179" s="1"/>
      <c r="D179" s="1"/>
      <c r="E179" s="1"/>
    </row>
    <row r="180" ht="15.75" customHeight="1">
      <c r="A180" s="1"/>
      <c r="B180" s="1"/>
      <c r="C180" s="1"/>
      <c r="D180" s="1"/>
      <c r="E180" s="1"/>
    </row>
    <row r="181" ht="15.75" customHeight="1">
      <c r="A181" s="1"/>
      <c r="B181" s="1"/>
      <c r="C181" s="1"/>
      <c r="D181" s="1"/>
      <c r="E181" s="1"/>
    </row>
    <row r="182" ht="15.75" customHeight="1">
      <c r="A182" s="1"/>
      <c r="B182" s="1"/>
      <c r="C182" s="1"/>
      <c r="D182" s="1"/>
      <c r="E182" s="1"/>
    </row>
    <row r="183" ht="15.75" customHeight="1">
      <c r="A183" s="1"/>
      <c r="B183" s="1"/>
      <c r="C183" s="1"/>
      <c r="D183" s="1"/>
      <c r="E183" s="1"/>
    </row>
    <row r="184" ht="15.75" customHeight="1">
      <c r="A184" s="1"/>
      <c r="B184" s="1"/>
      <c r="C184" s="1"/>
      <c r="D184" s="1"/>
      <c r="E184" s="1"/>
    </row>
    <row r="185" ht="15.75" customHeight="1">
      <c r="A185" s="1"/>
      <c r="B185" s="1"/>
      <c r="C185" s="1"/>
      <c r="D185" s="1"/>
      <c r="E185" s="1"/>
    </row>
    <row r="186" ht="15.75" customHeight="1">
      <c r="A186" s="1"/>
      <c r="B186" s="1"/>
      <c r="C186" s="1"/>
      <c r="D186" s="1"/>
      <c r="E186" s="1"/>
    </row>
    <row r="187" ht="15.75" customHeight="1">
      <c r="A187" s="1"/>
      <c r="B187" s="1"/>
      <c r="C187" s="1"/>
      <c r="D187" s="1"/>
      <c r="E187" s="1"/>
    </row>
    <row r="188" ht="15.75" customHeight="1">
      <c r="A188" s="1"/>
      <c r="B188" s="1"/>
      <c r="C188" s="1"/>
      <c r="D188" s="1"/>
      <c r="E188" s="1"/>
    </row>
    <row r="189" ht="15.75" customHeight="1">
      <c r="A189" s="1"/>
      <c r="B189" s="1"/>
      <c r="C189" s="1"/>
      <c r="D189" s="1"/>
      <c r="E189" s="1"/>
    </row>
    <row r="190" ht="15.75" customHeight="1">
      <c r="A190" s="1"/>
      <c r="B190" s="1"/>
      <c r="C190" s="1"/>
      <c r="D190" s="1"/>
      <c r="E190" s="1"/>
    </row>
    <row r="191" ht="15.75" customHeight="1">
      <c r="A191" s="1"/>
      <c r="B191" s="1"/>
      <c r="C191" s="1"/>
      <c r="D191" s="1"/>
      <c r="E191" s="1"/>
    </row>
    <row r="192" ht="15.75" customHeight="1">
      <c r="A192" s="1"/>
      <c r="B192" s="1"/>
      <c r="C192" s="1"/>
      <c r="D192" s="1"/>
      <c r="E192" s="1"/>
    </row>
    <row r="193" ht="15.75" customHeight="1">
      <c r="A193" s="1"/>
      <c r="B193" s="1"/>
      <c r="C193" s="1"/>
      <c r="D193" s="1"/>
      <c r="E193" s="1"/>
    </row>
    <row r="194" ht="15.75" customHeight="1">
      <c r="A194" s="1"/>
      <c r="B194" s="1"/>
      <c r="C194" s="1"/>
      <c r="D194" s="1"/>
      <c r="E194" s="1"/>
    </row>
    <row r="195" ht="15.75" customHeight="1">
      <c r="A195" s="1"/>
      <c r="B195" s="1"/>
      <c r="C195" s="1"/>
      <c r="D195" s="1"/>
      <c r="E195" s="1"/>
    </row>
    <row r="196" ht="15.75" customHeight="1">
      <c r="A196" s="1"/>
      <c r="B196" s="1"/>
      <c r="C196" s="1"/>
      <c r="D196" s="1"/>
      <c r="E196" s="1"/>
    </row>
    <row r="197" ht="15.75" customHeight="1">
      <c r="A197" s="1"/>
      <c r="B197" s="1"/>
      <c r="C197" s="1"/>
      <c r="D197" s="1"/>
      <c r="E197" s="1"/>
    </row>
    <row r="198" ht="15.75" customHeight="1">
      <c r="A198" s="1"/>
      <c r="B198" s="1"/>
      <c r="C198" s="1"/>
      <c r="D198" s="1"/>
      <c r="E198" s="1"/>
    </row>
    <row r="199" ht="15.75" customHeight="1">
      <c r="A199" s="1"/>
      <c r="B199" s="1"/>
      <c r="C199" s="1"/>
      <c r="D199" s="1"/>
      <c r="E199" s="1"/>
    </row>
    <row r="200" ht="15.75" customHeight="1">
      <c r="A200" s="1"/>
      <c r="B200" s="1"/>
      <c r="C200" s="1"/>
      <c r="D200" s="1"/>
      <c r="E200" s="1"/>
    </row>
    <row r="201" ht="15.75" customHeight="1">
      <c r="A201" s="1"/>
      <c r="B201" s="1"/>
      <c r="C201" s="1"/>
      <c r="D201" s="1"/>
      <c r="E201" s="1"/>
    </row>
    <row r="202" ht="15.75" customHeight="1">
      <c r="A202" s="1"/>
      <c r="B202" s="1"/>
      <c r="C202" s="1"/>
      <c r="D202" s="1"/>
      <c r="E202" s="1"/>
    </row>
    <row r="203" ht="15.75" customHeight="1">
      <c r="A203" s="1"/>
      <c r="B203" s="1"/>
      <c r="C203" s="1"/>
      <c r="D203" s="1"/>
      <c r="E203" s="1"/>
    </row>
    <row r="204" ht="15.75" customHeight="1">
      <c r="A204" s="1"/>
      <c r="B204" s="1"/>
      <c r="C204" s="1"/>
      <c r="D204" s="1"/>
      <c r="E204" s="1"/>
    </row>
    <row r="205" ht="15.75" customHeight="1">
      <c r="A205" s="1"/>
      <c r="B205" s="1"/>
      <c r="C205" s="1"/>
      <c r="D205" s="1"/>
      <c r="E205" s="1"/>
    </row>
    <row r="206" ht="15.75" customHeight="1">
      <c r="A206" s="1"/>
      <c r="B206" s="1"/>
      <c r="C206" s="1"/>
      <c r="D206" s="1"/>
      <c r="E206" s="1"/>
    </row>
    <row r="207" ht="15.75" customHeight="1">
      <c r="A207" s="1"/>
      <c r="B207" s="1"/>
      <c r="C207" s="1"/>
      <c r="D207" s="1"/>
      <c r="E207" s="1"/>
    </row>
    <row r="208" ht="15.75" customHeight="1">
      <c r="A208" s="1"/>
      <c r="B208" s="1"/>
      <c r="C208" s="1"/>
      <c r="D208" s="1"/>
      <c r="E208" s="1"/>
    </row>
    <row r="209" ht="15.75" customHeight="1">
      <c r="A209" s="1"/>
      <c r="B209" s="1"/>
      <c r="C209" s="1"/>
      <c r="D209" s="1"/>
      <c r="E209" s="1"/>
    </row>
    <row r="210" ht="15.75" customHeight="1">
      <c r="A210" s="1"/>
      <c r="B210" s="1"/>
      <c r="C210" s="1"/>
      <c r="D210" s="1"/>
      <c r="E210" s="1"/>
    </row>
    <row r="211" ht="15.75" customHeight="1">
      <c r="A211" s="1"/>
      <c r="B211" s="1"/>
      <c r="C211" s="1"/>
      <c r="D211" s="1"/>
      <c r="E211" s="1"/>
    </row>
    <row r="212" ht="15.75" customHeight="1">
      <c r="A212" s="1"/>
      <c r="B212" s="1"/>
      <c r="C212" s="1"/>
      <c r="D212" s="1"/>
      <c r="E212" s="1"/>
    </row>
    <row r="213" ht="15.75" customHeight="1">
      <c r="A213" s="1"/>
      <c r="B213" s="1"/>
      <c r="C213" s="1"/>
      <c r="D213" s="1"/>
      <c r="E213" s="1"/>
    </row>
    <row r="214" ht="15.75" customHeight="1">
      <c r="A214" s="1"/>
      <c r="B214" s="1"/>
      <c r="C214" s="1"/>
      <c r="D214" s="1"/>
      <c r="E214" s="1"/>
    </row>
    <row r="215" ht="15.75" customHeight="1">
      <c r="A215" s="1"/>
      <c r="B215" s="1"/>
      <c r="C215" s="1"/>
      <c r="D215" s="1"/>
      <c r="E215" s="1"/>
    </row>
    <row r="216" ht="15.75" customHeight="1">
      <c r="A216" s="1"/>
      <c r="B216" s="1"/>
      <c r="C216" s="1"/>
      <c r="D216" s="1"/>
      <c r="E216" s="1"/>
    </row>
    <row r="217" ht="15.75" customHeight="1">
      <c r="A217" s="1"/>
      <c r="B217" s="1"/>
      <c r="C217" s="1"/>
      <c r="D217" s="1"/>
      <c r="E217" s="1"/>
    </row>
    <row r="218" ht="15.75" customHeight="1">
      <c r="A218" s="1"/>
      <c r="B218" s="1"/>
      <c r="C218" s="1"/>
      <c r="D218" s="1"/>
      <c r="E218" s="1"/>
    </row>
    <row r="219" ht="15.75" customHeight="1">
      <c r="A219" s="1"/>
      <c r="B219" s="1"/>
      <c r="C219" s="1"/>
      <c r="D219" s="1"/>
      <c r="E219" s="1"/>
    </row>
    <row r="220" ht="15.75" customHeight="1">
      <c r="A220" s="1"/>
      <c r="B220" s="1"/>
      <c r="C220" s="1"/>
      <c r="D220" s="1"/>
      <c r="E220" s="1"/>
    </row>
    <row r="221" ht="15.75" customHeight="1">
      <c r="A221" s="1"/>
      <c r="B221" s="1"/>
      <c r="C221" s="1"/>
      <c r="D221" s="1"/>
      <c r="E221" s="1"/>
    </row>
    <row r="222" ht="15.75" customHeight="1">
      <c r="A222" s="1"/>
      <c r="B222" s="1"/>
      <c r="C222" s="1"/>
      <c r="D222" s="1"/>
      <c r="E222" s="1"/>
    </row>
    <row r="223" ht="15.75" customHeight="1">
      <c r="A223" s="1"/>
      <c r="B223" s="1"/>
      <c r="C223" s="1"/>
      <c r="D223" s="1"/>
      <c r="E223" s="1"/>
    </row>
    <row r="224" ht="15.75" customHeight="1">
      <c r="A224" s="1"/>
      <c r="B224" s="1"/>
      <c r="C224" s="1"/>
      <c r="D224" s="1"/>
      <c r="E224" s="1"/>
    </row>
    <row r="225" ht="15.75" customHeight="1">
      <c r="A225" s="1"/>
      <c r="B225" s="1"/>
      <c r="C225" s="1"/>
      <c r="D225" s="1"/>
      <c r="E225" s="1"/>
    </row>
    <row r="226" ht="15.75" customHeight="1">
      <c r="A226" s="1"/>
      <c r="B226" s="1"/>
      <c r="C226" s="1"/>
      <c r="D226" s="1"/>
      <c r="E226" s="1"/>
    </row>
    <row r="227" ht="15.75" customHeight="1">
      <c r="A227" s="1"/>
      <c r="B227" s="1"/>
      <c r="C227" s="1"/>
      <c r="D227" s="1"/>
      <c r="E227" s="1"/>
    </row>
    <row r="228" ht="15.75" customHeight="1">
      <c r="A228" s="1"/>
      <c r="B228" s="1"/>
      <c r="C228" s="1"/>
      <c r="D228" s="1"/>
      <c r="E228" s="1"/>
    </row>
    <row r="229" ht="15.75" customHeight="1">
      <c r="A229" s="1"/>
      <c r="B229" s="1"/>
      <c r="C229" s="1"/>
      <c r="D229" s="1"/>
      <c r="E229" s="1"/>
    </row>
    <row r="230" ht="15.75" customHeight="1">
      <c r="A230" s="1"/>
      <c r="B230" s="1"/>
      <c r="C230" s="1"/>
      <c r="D230" s="1"/>
      <c r="E230" s="1"/>
    </row>
    <row r="231" ht="15.75" customHeight="1">
      <c r="A231" s="1"/>
      <c r="B231" s="1"/>
      <c r="C231" s="1"/>
      <c r="D231" s="1"/>
      <c r="E231" s="1"/>
    </row>
    <row r="232" ht="15.75" customHeight="1">
      <c r="A232" s="1"/>
      <c r="B232" s="1"/>
      <c r="C232" s="1"/>
      <c r="D232" s="1"/>
      <c r="E232" s="1"/>
    </row>
    <row r="233" ht="15.75" customHeight="1">
      <c r="A233" s="1"/>
      <c r="B233" s="1"/>
      <c r="C233" s="1"/>
      <c r="D233" s="1"/>
      <c r="E233" s="1"/>
    </row>
    <row r="234" ht="15.75" customHeight="1">
      <c r="A234" s="1"/>
      <c r="B234" s="1"/>
      <c r="C234" s="1"/>
      <c r="D234" s="1"/>
      <c r="E234" s="1"/>
    </row>
    <row r="235" ht="15.75" customHeight="1">
      <c r="A235" s="1"/>
      <c r="B235" s="1"/>
      <c r="C235" s="1"/>
      <c r="D235" s="1"/>
      <c r="E235" s="1"/>
    </row>
    <row r="236" ht="15.75" customHeight="1">
      <c r="A236" s="1"/>
      <c r="B236" s="1"/>
      <c r="C236" s="1"/>
      <c r="D236" s="1"/>
      <c r="E236" s="1"/>
    </row>
    <row r="237" ht="15.75" customHeight="1">
      <c r="A237" s="1"/>
      <c r="B237" s="1"/>
      <c r="C237" s="1"/>
      <c r="D237" s="1"/>
      <c r="E237" s="1"/>
    </row>
    <row r="238" ht="15.75" customHeight="1">
      <c r="A238" s="1"/>
      <c r="B238" s="1"/>
      <c r="C238" s="1"/>
      <c r="D238" s="1"/>
      <c r="E238" s="1"/>
    </row>
    <row r="239" ht="15.75" customHeight="1">
      <c r="A239" s="1"/>
      <c r="B239" s="1"/>
      <c r="C239" s="1"/>
      <c r="D239" s="1"/>
      <c r="E239" s="1"/>
    </row>
    <row r="240" ht="15.75" customHeight="1">
      <c r="A240" s="1"/>
      <c r="B240" s="1"/>
      <c r="C240" s="1"/>
      <c r="D240" s="1"/>
      <c r="E240" s="1"/>
    </row>
    <row r="241" ht="15.75" customHeight="1">
      <c r="A241" s="1"/>
      <c r="B241" s="1"/>
      <c r="C241" s="1"/>
      <c r="D241" s="1"/>
      <c r="E241" s="1"/>
    </row>
    <row r="242" ht="15.75" customHeight="1">
      <c r="A242" s="1"/>
      <c r="B242" s="1"/>
      <c r="C242" s="1"/>
      <c r="D242" s="1"/>
      <c r="E242" s="1"/>
    </row>
    <row r="243" ht="15.75" customHeight="1">
      <c r="A243" s="1"/>
      <c r="B243" s="1"/>
      <c r="C243" s="1"/>
      <c r="D243" s="1"/>
      <c r="E243" s="1"/>
    </row>
    <row r="244" ht="15.75" customHeight="1">
      <c r="A244" s="1"/>
      <c r="B244" s="1"/>
      <c r="C244" s="1"/>
      <c r="D244" s="1"/>
      <c r="E244" s="1"/>
    </row>
    <row r="245" ht="15.75" customHeight="1">
      <c r="A245" s="1"/>
      <c r="B245" s="1"/>
      <c r="C245" s="1"/>
      <c r="D245" s="1"/>
      <c r="E245" s="1"/>
    </row>
    <row r="246" ht="15.75" customHeight="1">
      <c r="A246" s="1"/>
      <c r="B246" s="1"/>
      <c r="C246" s="1"/>
      <c r="D246" s="1"/>
      <c r="E246" s="1"/>
    </row>
    <row r="247" ht="15.75" customHeight="1">
      <c r="A247" s="1"/>
      <c r="B247" s="1"/>
      <c r="C247" s="1"/>
      <c r="D247" s="1"/>
      <c r="E247" s="1"/>
    </row>
    <row r="248" ht="15.75" customHeight="1">
      <c r="A248" s="1"/>
      <c r="B248" s="1"/>
      <c r="C248" s="1"/>
      <c r="D248" s="1"/>
      <c r="E248" s="1"/>
    </row>
    <row r="249" ht="15.75" customHeight="1">
      <c r="A249" s="1"/>
      <c r="B249" s="1"/>
      <c r="C249" s="1"/>
      <c r="D249" s="1"/>
      <c r="E249" s="1"/>
    </row>
    <row r="250" ht="15.75" customHeight="1">
      <c r="A250" s="1"/>
      <c r="B250" s="1"/>
      <c r="C250" s="1"/>
      <c r="D250" s="1"/>
      <c r="E250" s="1"/>
    </row>
    <row r="251" ht="15.75" customHeight="1">
      <c r="A251" s="1"/>
      <c r="B251" s="1"/>
      <c r="C251" s="1"/>
      <c r="D251" s="1"/>
      <c r="E251" s="1"/>
    </row>
    <row r="252" ht="15.75" customHeight="1">
      <c r="A252" s="1"/>
      <c r="B252" s="1"/>
      <c r="C252" s="1"/>
      <c r="D252" s="1"/>
      <c r="E252" s="1"/>
    </row>
    <row r="253" ht="15.75" customHeight="1">
      <c r="A253" s="1"/>
      <c r="B253" s="1"/>
      <c r="C253" s="1"/>
      <c r="D253" s="1"/>
      <c r="E253" s="1"/>
    </row>
    <row r="254" ht="15.75" customHeight="1">
      <c r="A254" s="1"/>
      <c r="B254" s="1"/>
      <c r="C254" s="1"/>
      <c r="D254" s="1"/>
      <c r="E254" s="1"/>
    </row>
    <row r="255" ht="15.75" customHeight="1">
      <c r="A255" s="1"/>
      <c r="B255" s="1"/>
      <c r="C255" s="1"/>
      <c r="D255" s="1"/>
      <c r="E255" s="1"/>
    </row>
    <row r="256" ht="15.75" customHeight="1">
      <c r="A256" s="1"/>
      <c r="B256" s="1"/>
      <c r="C256" s="1"/>
      <c r="D256" s="1"/>
      <c r="E256" s="1"/>
    </row>
    <row r="257" ht="15.75" customHeight="1">
      <c r="A257" s="1"/>
      <c r="B257" s="1"/>
      <c r="C257" s="1"/>
      <c r="D257" s="1"/>
      <c r="E257" s="1"/>
    </row>
    <row r="258" ht="15.75" customHeight="1">
      <c r="A258" s="1"/>
      <c r="B258" s="1"/>
      <c r="C258" s="1"/>
      <c r="D258" s="1"/>
      <c r="E258" s="1"/>
    </row>
    <row r="259" ht="15.75" customHeight="1">
      <c r="A259" s="1"/>
      <c r="B259" s="1"/>
      <c r="C259" s="1"/>
      <c r="D259" s="1"/>
      <c r="E259" s="1"/>
    </row>
    <row r="260" ht="15.75" customHeight="1">
      <c r="A260" s="1"/>
      <c r="B260" s="1"/>
      <c r="C260" s="1"/>
      <c r="D260" s="1"/>
      <c r="E260" s="1"/>
    </row>
    <row r="261" ht="15.75" customHeight="1">
      <c r="A261" s="1"/>
      <c r="B261" s="1"/>
      <c r="C261" s="1"/>
      <c r="D261" s="1"/>
      <c r="E261" s="1"/>
    </row>
    <row r="262" ht="15.75" customHeight="1">
      <c r="A262" s="1"/>
      <c r="B262" s="1"/>
      <c r="C262" s="1"/>
      <c r="D262" s="1"/>
      <c r="E262" s="1"/>
    </row>
    <row r="263" ht="15.75" customHeight="1">
      <c r="A263" s="1"/>
      <c r="B263" s="1"/>
      <c r="C263" s="1"/>
      <c r="D263" s="1"/>
      <c r="E263" s="1"/>
    </row>
    <row r="264" ht="15.75" customHeight="1">
      <c r="A264" s="1"/>
      <c r="B264" s="1"/>
      <c r="C264" s="1"/>
      <c r="D264" s="1"/>
      <c r="E264" s="1"/>
    </row>
    <row r="265" ht="15.75" customHeight="1">
      <c r="A265" s="1"/>
      <c r="B265" s="1"/>
      <c r="C265" s="1"/>
      <c r="D265" s="1"/>
      <c r="E265" s="1"/>
    </row>
    <row r="266" ht="15.75" customHeight="1">
      <c r="A266" s="1"/>
      <c r="B266" s="1"/>
      <c r="C266" s="1"/>
      <c r="D266" s="1"/>
      <c r="E266" s="1"/>
    </row>
    <row r="267" ht="15.75" customHeight="1">
      <c r="A267" s="1"/>
      <c r="B267" s="1"/>
      <c r="C267" s="1"/>
      <c r="D267" s="1"/>
      <c r="E267" s="1"/>
    </row>
    <row r="268" ht="15.75" customHeight="1">
      <c r="A268" s="1"/>
      <c r="B268" s="1"/>
      <c r="C268" s="1"/>
      <c r="D268" s="1"/>
      <c r="E268" s="1"/>
    </row>
    <row r="269" ht="15.75" customHeight="1">
      <c r="A269" s="1"/>
      <c r="B269" s="1"/>
      <c r="C269" s="1"/>
      <c r="D269" s="1"/>
      <c r="E269" s="1"/>
    </row>
    <row r="270" ht="15.75" customHeight="1">
      <c r="A270" s="1"/>
      <c r="B270" s="1"/>
      <c r="C270" s="1"/>
      <c r="D270" s="1"/>
      <c r="E270" s="1"/>
    </row>
    <row r="271" ht="15.75" customHeight="1">
      <c r="A271" s="1"/>
      <c r="B271" s="1"/>
      <c r="C271" s="1"/>
      <c r="D271" s="1"/>
      <c r="E271" s="1"/>
    </row>
    <row r="272" ht="15.75" customHeight="1">
      <c r="A272" s="1"/>
      <c r="B272" s="1"/>
      <c r="C272" s="1"/>
      <c r="D272" s="1"/>
      <c r="E272" s="1"/>
    </row>
    <row r="273" ht="15.75" customHeight="1">
      <c r="A273" s="1"/>
      <c r="B273" s="1"/>
      <c r="C273" s="1"/>
      <c r="D273" s="1"/>
      <c r="E273" s="1"/>
    </row>
    <row r="274" ht="15.75" customHeight="1">
      <c r="A274" s="1"/>
      <c r="B274" s="1"/>
      <c r="C274" s="1"/>
      <c r="D274" s="1"/>
      <c r="E274" s="1"/>
    </row>
    <row r="275" ht="15.75" customHeight="1">
      <c r="A275" s="1"/>
      <c r="B275" s="1"/>
      <c r="C275" s="1"/>
      <c r="D275" s="1"/>
      <c r="E275" s="1"/>
    </row>
    <row r="276" ht="15.75" customHeight="1">
      <c r="A276" s="1"/>
      <c r="B276" s="1"/>
      <c r="C276" s="1"/>
      <c r="D276" s="1"/>
      <c r="E276" s="1"/>
    </row>
    <row r="277" ht="15.75" customHeight="1">
      <c r="A277" s="1"/>
      <c r="B277" s="1"/>
      <c r="C277" s="1"/>
      <c r="D277" s="1"/>
      <c r="E277" s="1"/>
    </row>
    <row r="278" ht="15.75" customHeight="1">
      <c r="A278" s="1"/>
      <c r="B278" s="1"/>
      <c r="C278" s="1"/>
      <c r="D278" s="1"/>
      <c r="E278" s="1"/>
    </row>
    <row r="279" ht="15.75" customHeight="1">
      <c r="A279" s="1"/>
      <c r="B279" s="1"/>
      <c r="C279" s="1"/>
      <c r="D279" s="1"/>
      <c r="E279" s="1"/>
    </row>
    <row r="280" ht="15.75" customHeight="1">
      <c r="A280" s="1"/>
      <c r="B280" s="1"/>
      <c r="C280" s="1"/>
      <c r="D280" s="1"/>
      <c r="E280" s="1"/>
    </row>
    <row r="281" ht="15.75" customHeight="1">
      <c r="A281" s="1"/>
      <c r="B281" s="1"/>
      <c r="C281" s="1"/>
      <c r="D281" s="1"/>
      <c r="E281" s="1"/>
    </row>
    <row r="282" ht="15.75" customHeight="1">
      <c r="A282" s="1"/>
      <c r="B282" s="1"/>
      <c r="C282" s="1"/>
      <c r="D282" s="1"/>
      <c r="E282" s="1"/>
    </row>
    <row r="283" ht="15.75" customHeight="1">
      <c r="A283" s="1"/>
      <c r="B283" s="1"/>
      <c r="C283" s="1"/>
      <c r="D283" s="1"/>
      <c r="E283" s="1"/>
    </row>
    <row r="284" ht="15.75" customHeight="1">
      <c r="A284" s="1"/>
      <c r="B284" s="1"/>
      <c r="C284" s="1"/>
      <c r="D284" s="1"/>
      <c r="E284" s="1"/>
    </row>
    <row r="285" ht="15.75" customHeight="1">
      <c r="A285" s="1"/>
      <c r="B285" s="1"/>
      <c r="C285" s="1"/>
      <c r="D285" s="1"/>
      <c r="E285" s="1"/>
    </row>
    <row r="286" ht="15.75" customHeight="1">
      <c r="A286" s="1"/>
      <c r="B286" s="1"/>
      <c r="C286" s="1"/>
      <c r="D286" s="1"/>
      <c r="E286" s="1"/>
    </row>
    <row r="287" ht="15.75" customHeight="1">
      <c r="A287" s="1"/>
      <c r="B287" s="1"/>
      <c r="C287" s="1"/>
      <c r="D287" s="1"/>
      <c r="E287" s="1"/>
    </row>
    <row r="288" ht="15.75" customHeight="1">
      <c r="A288" s="1"/>
      <c r="B288" s="1"/>
      <c r="C288" s="1"/>
      <c r="D288" s="1"/>
      <c r="E288" s="1"/>
    </row>
    <row r="289" ht="15.75" customHeight="1">
      <c r="A289" s="1"/>
      <c r="B289" s="1"/>
      <c r="C289" s="1"/>
      <c r="D289" s="1"/>
      <c r="E289" s="1"/>
    </row>
    <row r="290" ht="15.75" customHeight="1">
      <c r="A290" s="1"/>
      <c r="B290" s="1"/>
      <c r="C290" s="1"/>
      <c r="D290" s="1"/>
      <c r="E290" s="1"/>
    </row>
    <row r="291" ht="15.75" customHeight="1">
      <c r="A291" s="1"/>
      <c r="B291" s="1"/>
      <c r="C291" s="1"/>
      <c r="D291" s="1"/>
      <c r="E291" s="1"/>
    </row>
    <row r="292" ht="15.75" customHeight="1">
      <c r="A292" s="1"/>
      <c r="B292" s="1"/>
      <c r="C292" s="1"/>
      <c r="D292" s="1"/>
      <c r="E292" s="1"/>
    </row>
    <row r="293" ht="15.75" customHeight="1">
      <c r="A293" s="1"/>
      <c r="B293" s="1"/>
      <c r="C293" s="1"/>
      <c r="D293" s="1"/>
      <c r="E293" s="1"/>
    </row>
    <row r="294" ht="15.75" customHeight="1">
      <c r="A294" s="1"/>
      <c r="B294" s="1"/>
      <c r="C294" s="1"/>
      <c r="D294" s="1"/>
      <c r="E294" s="1"/>
    </row>
    <row r="295" ht="15.75" customHeight="1">
      <c r="A295" s="1"/>
      <c r="B295" s="1"/>
      <c r="C295" s="1"/>
      <c r="D295" s="1"/>
      <c r="E295" s="1"/>
    </row>
    <row r="296" ht="15.75" customHeight="1">
      <c r="A296" s="1"/>
      <c r="B296" s="1"/>
      <c r="C296" s="1"/>
      <c r="D296" s="1"/>
      <c r="E296" s="1"/>
    </row>
    <row r="297" ht="15.75" customHeight="1">
      <c r="A297" s="1"/>
      <c r="B297" s="1"/>
      <c r="C297" s="1"/>
      <c r="D297" s="1"/>
      <c r="E297" s="1"/>
    </row>
    <row r="298" ht="15.75" customHeight="1">
      <c r="A298" s="1"/>
      <c r="B298" s="1"/>
      <c r="C298" s="1"/>
      <c r="D298" s="1"/>
      <c r="E298" s="1"/>
    </row>
    <row r="299" ht="15.75" customHeight="1">
      <c r="A299" s="1"/>
      <c r="B299" s="1"/>
      <c r="C299" s="1"/>
      <c r="D299" s="1"/>
      <c r="E299" s="1"/>
    </row>
    <row r="300" ht="15.75" customHeight="1">
      <c r="A300" s="1"/>
      <c r="B300" s="1"/>
      <c r="C300" s="1"/>
      <c r="D300" s="1"/>
      <c r="E300" s="1"/>
    </row>
    <row r="301" ht="15.75" customHeight="1">
      <c r="A301" s="1"/>
      <c r="B301" s="1"/>
      <c r="C301" s="1"/>
      <c r="D301" s="1"/>
      <c r="E301" s="1"/>
    </row>
    <row r="302" ht="15.75" customHeight="1">
      <c r="A302" s="1"/>
      <c r="B302" s="1"/>
      <c r="C302" s="1"/>
      <c r="D302" s="1"/>
      <c r="E302" s="1"/>
    </row>
    <row r="303" ht="15.75" customHeight="1">
      <c r="A303" s="1"/>
      <c r="B303" s="1"/>
      <c r="C303" s="1"/>
      <c r="D303" s="1"/>
      <c r="E303" s="1"/>
    </row>
    <row r="304" ht="15.75" customHeight="1">
      <c r="A304" s="1"/>
      <c r="B304" s="1"/>
      <c r="C304" s="1"/>
      <c r="D304" s="1"/>
      <c r="E304" s="1"/>
    </row>
    <row r="305" ht="15.75" customHeight="1">
      <c r="A305" s="1"/>
      <c r="B305" s="1"/>
      <c r="C305" s="1"/>
      <c r="D305" s="1"/>
      <c r="E305" s="1"/>
    </row>
    <row r="306" ht="15.75" customHeight="1">
      <c r="A306" s="1"/>
      <c r="B306" s="1"/>
      <c r="C306" s="1"/>
      <c r="D306" s="1"/>
      <c r="E306" s="1"/>
    </row>
    <row r="307" ht="15.75" customHeight="1">
      <c r="A307" s="1"/>
      <c r="B307" s="1"/>
      <c r="C307" s="1"/>
      <c r="D307" s="1"/>
      <c r="E307" s="1"/>
    </row>
    <row r="308" ht="15.75" customHeight="1">
      <c r="A308" s="1"/>
      <c r="B308" s="1"/>
      <c r="C308" s="1"/>
      <c r="D308" s="1"/>
      <c r="E308" s="1"/>
    </row>
    <row r="309" ht="15.75" customHeight="1">
      <c r="A309" s="1"/>
      <c r="B309" s="1"/>
      <c r="C309" s="1"/>
      <c r="D309" s="1"/>
      <c r="E309" s="1"/>
    </row>
    <row r="310" ht="15.75" customHeight="1">
      <c r="A310" s="1"/>
      <c r="B310" s="1"/>
      <c r="C310" s="1"/>
      <c r="D310" s="1"/>
      <c r="E310" s="1"/>
    </row>
    <row r="311" ht="15.75" customHeight="1">
      <c r="A311" s="1"/>
      <c r="B311" s="1"/>
      <c r="C311" s="1"/>
      <c r="D311" s="1"/>
      <c r="E311" s="1"/>
    </row>
    <row r="312" ht="15.75" customHeight="1">
      <c r="A312" s="1"/>
      <c r="B312" s="1"/>
      <c r="C312" s="1"/>
      <c r="D312" s="1"/>
      <c r="E312" s="1"/>
    </row>
    <row r="313" ht="15.75" customHeight="1">
      <c r="A313" s="1"/>
      <c r="B313" s="1"/>
      <c r="C313" s="1"/>
      <c r="D313" s="1"/>
      <c r="E313" s="1"/>
    </row>
    <row r="314" ht="15.75" customHeight="1">
      <c r="A314" s="1"/>
      <c r="B314" s="1"/>
      <c r="C314" s="1"/>
      <c r="D314" s="1"/>
      <c r="E314" s="1"/>
    </row>
    <row r="315" ht="15.75" customHeight="1">
      <c r="A315" s="1"/>
      <c r="B315" s="1"/>
      <c r="C315" s="1"/>
      <c r="D315" s="1"/>
      <c r="E315" s="1"/>
    </row>
    <row r="316" ht="15.75" customHeight="1">
      <c r="A316" s="1"/>
      <c r="B316" s="1"/>
      <c r="C316" s="1"/>
      <c r="D316" s="1"/>
      <c r="E316" s="1"/>
    </row>
    <row r="317" ht="15.75" customHeight="1">
      <c r="A317" s="1"/>
      <c r="B317" s="1"/>
      <c r="C317" s="1"/>
      <c r="D317" s="1"/>
      <c r="E317" s="1"/>
    </row>
    <row r="318" ht="15.75" customHeight="1">
      <c r="A318" s="1"/>
      <c r="B318" s="1"/>
      <c r="C318" s="1"/>
      <c r="D318" s="1"/>
      <c r="E318" s="1"/>
    </row>
    <row r="319" ht="15.75" customHeight="1">
      <c r="A319" s="1"/>
      <c r="B319" s="1"/>
      <c r="C319" s="1"/>
      <c r="D319" s="1"/>
      <c r="E319" s="1"/>
    </row>
    <row r="320" ht="15.75" customHeight="1">
      <c r="A320" s="1"/>
      <c r="B320" s="1"/>
      <c r="C320" s="1"/>
      <c r="D320" s="1"/>
      <c r="E320" s="1"/>
    </row>
    <row r="321" ht="15.75" customHeight="1">
      <c r="A321" s="1"/>
      <c r="B321" s="1"/>
      <c r="C321" s="1"/>
      <c r="D321" s="1"/>
      <c r="E321" s="1"/>
    </row>
    <row r="322" ht="15.75" customHeight="1">
      <c r="A322" s="1"/>
      <c r="B322" s="1"/>
      <c r="C322" s="1"/>
      <c r="D322" s="1"/>
      <c r="E322" s="1"/>
    </row>
    <row r="323" ht="15.75" customHeight="1">
      <c r="A323" s="1"/>
      <c r="B323" s="1"/>
      <c r="C323" s="1"/>
      <c r="D323" s="1"/>
      <c r="E323" s="1"/>
    </row>
    <row r="324" ht="15.75" customHeight="1">
      <c r="A324" s="1"/>
      <c r="B324" s="1"/>
      <c r="C324" s="1"/>
      <c r="D324" s="1"/>
      <c r="E324" s="1"/>
    </row>
    <row r="325" ht="15.75" customHeight="1">
      <c r="A325" s="1"/>
      <c r="B325" s="1"/>
      <c r="C325" s="1"/>
      <c r="D325" s="1"/>
      <c r="E325" s="1"/>
    </row>
    <row r="326" ht="15.75" customHeight="1">
      <c r="A326" s="1"/>
      <c r="B326" s="1"/>
      <c r="C326" s="1"/>
      <c r="D326" s="1"/>
      <c r="E326" s="1"/>
    </row>
    <row r="327" ht="15.75" customHeight="1">
      <c r="A327" s="1"/>
      <c r="B327" s="1"/>
      <c r="C327" s="1"/>
      <c r="D327" s="1"/>
      <c r="E327" s="1"/>
    </row>
    <row r="328" ht="15.75" customHeight="1">
      <c r="A328" s="1"/>
      <c r="B328" s="1"/>
      <c r="C328" s="1"/>
      <c r="D328" s="1"/>
      <c r="E328" s="1"/>
    </row>
    <row r="329" ht="15.75" customHeight="1">
      <c r="A329" s="1"/>
      <c r="B329" s="1"/>
      <c r="C329" s="1"/>
      <c r="D329" s="1"/>
      <c r="E329" s="1"/>
    </row>
    <row r="330" ht="15.75" customHeight="1">
      <c r="A330" s="1"/>
      <c r="B330" s="1"/>
      <c r="C330" s="1"/>
      <c r="D330" s="1"/>
      <c r="E330" s="1"/>
    </row>
    <row r="331" ht="15.75" customHeight="1">
      <c r="A331" s="1"/>
      <c r="B331" s="1"/>
      <c r="C331" s="1"/>
      <c r="D331" s="1"/>
      <c r="E331" s="1"/>
    </row>
    <row r="332" ht="15.75" customHeight="1">
      <c r="A332" s="1"/>
      <c r="B332" s="1"/>
      <c r="C332" s="1"/>
      <c r="D332" s="1"/>
      <c r="E332" s="1"/>
    </row>
    <row r="333" ht="15.75" customHeight="1">
      <c r="A333" s="1"/>
      <c r="B333" s="1"/>
      <c r="C333" s="1"/>
      <c r="D333" s="1"/>
      <c r="E333" s="1"/>
    </row>
    <row r="334" ht="15.75" customHeight="1">
      <c r="A334" s="1"/>
      <c r="B334" s="1"/>
      <c r="C334" s="1"/>
      <c r="D334" s="1"/>
      <c r="E334" s="1"/>
    </row>
    <row r="335" ht="15.75" customHeight="1">
      <c r="A335" s="1"/>
      <c r="B335" s="1"/>
      <c r="C335" s="1"/>
      <c r="D335" s="1"/>
      <c r="E335" s="1"/>
    </row>
    <row r="336" ht="15.75" customHeight="1">
      <c r="A336" s="1"/>
      <c r="B336" s="1"/>
      <c r="C336" s="1"/>
      <c r="D336" s="1"/>
      <c r="E336" s="1"/>
    </row>
    <row r="337" ht="15.75" customHeight="1">
      <c r="A337" s="1"/>
      <c r="B337" s="1"/>
      <c r="C337" s="1"/>
      <c r="D337" s="1"/>
      <c r="E337" s="1"/>
    </row>
    <row r="338" ht="15.75" customHeight="1">
      <c r="A338" s="1"/>
      <c r="B338" s="1"/>
      <c r="C338" s="1"/>
      <c r="D338" s="1"/>
      <c r="E338" s="1"/>
    </row>
    <row r="339" ht="15.75" customHeight="1">
      <c r="A339" s="1"/>
      <c r="B339" s="1"/>
      <c r="C339" s="1"/>
      <c r="D339" s="1"/>
      <c r="E339" s="1"/>
    </row>
    <row r="340" ht="15.75" customHeight="1">
      <c r="A340" s="1"/>
      <c r="B340" s="1"/>
      <c r="C340" s="1"/>
      <c r="D340" s="1"/>
      <c r="E340" s="1"/>
    </row>
    <row r="341" ht="15.75" customHeight="1">
      <c r="A341" s="1"/>
      <c r="B341" s="1"/>
      <c r="C341" s="1"/>
      <c r="D341" s="1"/>
      <c r="E341" s="1"/>
    </row>
    <row r="342" ht="15.75" customHeight="1">
      <c r="A342" s="1"/>
      <c r="B342" s="1"/>
      <c r="C342" s="1"/>
      <c r="D342" s="1"/>
      <c r="E342" s="1"/>
    </row>
    <row r="343" ht="15.75" customHeight="1">
      <c r="A343" s="1"/>
      <c r="B343" s="1"/>
      <c r="C343" s="1"/>
      <c r="D343" s="1"/>
      <c r="E343" s="1"/>
    </row>
    <row r="344" ht="15.75" customHeight="1">
      <c r="A344" s="1"/>
      <c r="B344" s="1"/>
      <c r="C344" s="1"/>
      <c r="D344" s="1"/>
      <c r="E344" s="1"/>
    </row>
    <row r="345" ht="15.75" customHeight="1">
      <c r="A345" s="1"/>
      <c r="B345" s="1"/>
      <c r="C345" s="1"/>
      <c r="D345" s="1"/>
      <c r="E345" s="1"/>
    </row>
    <row r="346" ht="15.75" customHeight="1">
      <c r="A346" s="1"/>
      <c r="B346" s="1"/>
      <c r="C346" s="1"/>
      <c r="D346" s="1"/>
      <c r="E346" s="1"/>
    </row>
    <row r="347" ht="15.75" customHeight="1">
      <c r="A347" s="1"/>
      <c r="B347" s="1"/>
      <c r="C347" s="1"/>
      <c r="D347" s="1"/>
      <c r="E347" s="1"/>
    </row>
    <row r="348" ht="15.75" customHeight="1">
      <c r="A348" s="1"/>
      <c r="B348" s="1"/>
      <c r="C348" s="1"/>
      <c r="D348" s="1"/>
      <c r="E348" s="1"/>
    </row>
    <row r="349" ht="15.75" customHeight="1">
      <c r="A349" s="1"/>
      <c r="B349" s="1"/>
      <c r="C349" s="1"/>
      <c r="D349" s="1"/>
      <c r="E349" s="1"/>
    </row>
    <row r="350" ht="15.75" customHeight="1">
      <c r="A350" s="1"/>
      <c r="B350" s="1"/>
      <c r="C350" s="1"/>
      <c r="D350" s="1"/>
      <c r="E350" s="1"/>
    </row>
    <row r="351" ht="15.75" customHeight="1">
      <c r="A351" s="1"/>
      <c r="B351" s="1"/>
      <c r="C351" s="1"/>
      <c r="D351" s="1"/>
      <c r="E351" s="1"/>
    </row>
    <row r="352" ht="15.75" customHeight="1">
      <c r="A352" s="1"/>
      <c r="B352" s="1"/>
      <c r="C352" s="1"/>
      <c r="D352" s="1"/>
      <c r="E352" s="1"/>
    </row>
    <row r="353" ht="15.75" customHeight="1">
      <c r="A353" s="1"/>
      <c r="B353" s="1"/>
      <c r="C353" s="1"/>
      <c r="D353" s="1"/>
      <c r="E353" s="1"/>
    </row>
    <row r="354" ht="15.75" customHeight="1">
      <c r="A354" s="1"/>
      <c r="B354" s="1"/>
      <c r="C354" s="1"/>
      <c r="D354" s="1"/>
      <c r="E354" s="1"/>
    </row>
    <row r="355" ht="15.75" customHeight="1">
      <c r="A355" s="1"/>
      <c r="B355" s="1"/>
      <c r="C355" s="1"/>
      <c r="D355" s="1"/>
      <c r="E355" s="1"/>
    </row>
    <row r="356" ht="15.75" customHeight="1">
      <c r="A356" s="1"/>
      <c r="B356" s="1"/>
      <c r="C356" s="1"/>
      <c r="D356" s="1"/>
      <c r="E356" s="1"/>
    </row>
    <row r="357" ht="15.75" customHeight="1">
      <c r="A357" s="1"/>
      <c r="B357" s="1"/>
      <c r="C357" s="1"/>
      <c r="D357" s="1"/>
      <c r="E357" s="1"/>
    </row>
    <row r="358" ht="15.75" customHeight="1">
      <c r="A358" s="1"/>
      <c r="B358" s="1"/>
      <c r="C358" s="1"/>
      <c r="D358" s="1"/>
      <c r="E358" s="1"/>
    </row>
    <row r="359" ht="15.75" customHeight="1">
      <c r="A359" s="1"/>
      <c r="B359" s="1"/>
      <c r="C359" s="1"/>
      <c r="D359" s="1"/>
      <c r="E359" s="1"/>
    </row>
    <row r="360" ht="15.75" customHeight="1">
      <c r="A360" s="1"/>
      <c r="B360" s="1"/>
      <c r="C360" s="1"/>
      <c r="D360" s="1"/>
      <c r="E360" s="1"/>
    </row>
    <row r="361" ht="15.75" customHeight="1">
      <c r="A361" s="1"/>
      <c r="B361" s="1"/>
      <c r="C361" s="1"/>
      <c r="D361" s="1"/>
      <c r="E361" s="1"/>
    </row>
    <row r="362" ht="15.75" customHeight="1">
      <c r="A362" s="1"/>
      <c r="B362" s="1"/>
      <c r="C362" s="1"/>
      <c r="D362" s="1"/>
      <c r="E362" s="1"/>
    </row>
    <row r="363" ht="15.75" customHeight="1">
      <c r="A363" s="1"/>
      <c r="B363" s="1"/>
      <c r="C363" s="1"/>
      <c r="D363" s="1"/>
      <c r="E363" s="1"/>
    </row>
    <row r="364" ht="15.75" customHeight="1">
      <c r="A364" s="1"/>
      <c r="B364" s="1"/>
      <c r="C364" s="1"/>
      <c r="D364" s="1"/>
      <c r="E364" s="1"/>
    </row>
    <row r="365" ht="15.75" customHeight="1">
      <c r="A365" s="1"/>
      <c r="B365" s="1"/>
      <c r="C365" s="1"/>
      <c r="D365" s="1"/>
      <c r="E365" s="1"/>
    </row>
    <row r="366" ht="15.75" customHeight="1">
      <c r="A366" s="1"/>
      <c r="B366" s="1"/>
      <c r="C366" s="1"/>
      <c r="D366" s="1"/>
      <c r="E366" s="1"/>
    </row>
    <row r="367" ht="15.75" customHeight="1">
      <c r="A367" s="1"/>
      <c r="B367" s="1"/>
      <c r="C367" s="1"/>
      <c r="D367" s="1"/>
      <c r="E367" s="1"/>
    </row>
    <row r="368" ht="15.75" customHeight="1">
      <c r="A368" s="1"/>
      <c r="B368" s="1"/>
      <c r="C368" s="1"/>
      <c r="D368" s="1"/>
      <c r="E368" s="1"/>
    </row>
    <row r="369" ht="15.75" customHeight="1">
      <c r="A369" s="1"/>
      <c r="B369" s="1"/>
      <c r="C369" s="1"/>
      <c r="D369" s="1"/>
      <c r="E369" s="1"/>
    </row>
    <row r="370" ht="15.75" customHeight="1">
      <c r="A370" s="1"/>
      <c r="B370" s="1"/>
      <c r="C370" s="1"/>
      <c r="D370" s="1"/>
      <c r="E370" s="1"/>
    </row>
    <row r="371" ht="15.75" customHeight="1">
      <c r="A371" s="1"/>
      <c r="B371" s="1"/>
      <c r="C371" s="1"/>
      <c r="D371" s="1"/>
      <c r="E371" s="1"/>
    </row>
    <row r="372" ht="15.75" customHeight="1">
      <c r="A372" s="1"/>
      <c r="B372" s="1"/>
      <c r="C372" s="1"/>
      <c r="D372" s="1"/>
      <c r="E372" s="1"/>
    </row>
    <row r="373" ht="15.75" customHeight="1">
      <c r="A373" s="1"/>
      <c r="B373" s="1"/>
      <c r="C373" s="1"/>
      <c r="D373" s="1"/>
      <c r="E373" s="1"/>
    </row>
    <row r="374" ht="15.75" customHeight="1">
      <c r="A374" s="1"/>
      <c r="B374" s="1"/>
      <c r="C374" s="1"/>
      <c r="D374" s="1"/>
      <c r="E374" s="1"/>
    </row>
    <row r="375" ht="15.75" customHeight="1">
      <c r="A375" s="1"/>
      <c r="B375" s="1"/>
      <c r="C375" s="1"/>
      <c r="D375" s="1"/>
      <c r="E375" s="1"/>
    </row>
    <row r="376" ht="15.75" customHeight="1">
      <c r="A376" s="1"/>
      <c r="B376" s="1"/>
      <c r="C376" s="1"/>
      <c r="D376" s="1"/>
      <c r="E376" s="1"/>
    </row>
    <row r="377" ht="15.75" customHeight="1">
      <c r="A377" s="1"/>
      <c r="B377" s="1"/>
      <c r="C377" s="1"/>
      <c r="D377" s="1"/>
      <c r="E377" s="1"/>
    </row>
    <row r="378" ht="15.75" customHeight="1">
      <c r="A378" s="1"/>
      <c r="B378" s="1"/>
      <c r="C378" s="1"/>
      <c r="D378" s="1"/>
      <c r="E378" s="1"/>
    </row>
    <row r="379" ht="15.75" customHeight="1">
      <c r="A379" s="1"/>
      <c r="B379" s="1"/>
      <c r="C379" s="1"/>
      <c r="D379" s="1"/>
      <c r="E379" s="1"/>
    </row>
    <row r="380" ht="15.75" customHeight="1">
      <c r="A380" s="1"/>
      <c r="B380" s="1"/>
      <c r="C380" s="1"/>
      <c r="D380" s="1"/>
      <c r="E380" s="1"/>
    </row>
    <row r="381" ht="15.75" customHeight="1">
      <c r="A381" s="1"/>
      <c r="B381" s="1"/>
      <c r="C381" s="1"/>
      <c r="D381" s="1"/>
      <c r="E381" s="1"/>
    </row>
    <row r="382" ht="15.75" customHeight="1">
      <c r="A382" s="1"/>
      <c r="B382" s="1"/>
      <c r="C382" s="1"/>
      <c r="D382" s="1"/>
      <c r="E382" s="1"/>
    </row>
    <row r="383" ht="15.75" customHeight="1">
      <c r="A383" s="1"/>
      <c r="B383" s="1"/>
      <c r="C383" s="1"/>
      <c r="D383" s="1"/>
      <c r="E383" s="1"/>
    </row>
    <row r="384" ht="15.75" customHeight="1">
      <c r="A384" s="1"/>
      <c r="B384" s="1"/>
      <c r="C384" s="1"/>
      <c r="D384" s="1"/>
      <c r="E384" s="1"/>
    </row>
    <row r="385" ht="15.75" customHeight="1">
      <c r="A385" s="1"/>
      <c r="B385" s="1"/>
      <c r="C385" s="1"/>
      <c r="D385" s="1"/>
      <c r="E385" s="1"/>
    </row>
    <row r="386" ht="15.75" customHeight="1">
      <c r="A386" s="1"/>
      <c r="B386" s="1"/>
      <c r="C386" s="1"/>
      <c r="D386" s="1"/>
      <c r="E386" s="1"/>
    </row>
    <row r="387" ht="15.75" customHeight="1">
      <c r="A387" s="1"/>
      <c r="B387" s="1"/>
      <c r="C387" s="1"/>
      <c r="D387" s="1"/>
      <c r="E387" s="1"/>
    </row>
    <row r="388" ht="15.75" customHeight="1">
      <c r="A388" s="1"/>
      <c r="B388" s="1"/>
      <c r="C388" s="1"/>
      <c r="D388" s="1"/>
      <c r="E388" s="1"/>
    </row>
    <row r="389" ht="15.75" customHeight="1">
      <c r="A389" s="1"/>
      <c r="B389" s="1"/>
      <c r="C389" s="1"/>
      <c r="D389" s="1"/>
      <c r="E389" s="1"/>
    </row>
    <row r="390" ht="15.75" customHeight="1">
      <c r="A390" s="1"/>
      <c r="B390" s="1"/>
      <c r="C390" s="1"/>
      <c r="D390" s="1"/>
      <c r="E390" s="1"/>
    </row>
    <row r="391" ht="15.75" customHeight="1">
      <c r="A391" s="1"/>
      <c r="B391" s="1"/>
      <c r="C391" s="1"/>
      <c r="D391" s="1"/>
      <c r="E391" s="1"/>
    </row>
    <row r="392" ht="15.75" customHeight="1">
      <c r="A392" s="1"/>
      <c r="B392" s="1"/>
      <c r="C392" s="1"/>
      <c r="D392" s="1"/>
      <c r="E392" s="1"/>
    </row>
    <row r="393" ht="15.75" customHeight="1">
      <c r="A393" s="1"/>
      <c r="B393" s="1"/>
      <c r="C393" s="1"/>
      <c r="D393" s="1"/>
      <c r="E393" s="1"/>
    </row>
    <row r="394" ht="15.75" customHeight="1">
      <c r="A394" s="1"/>
      <c r="B394" s="1"/>
      <c r="C394" s="1"/>
      <c r="D394" s="1"/>
      <c r="E394" s="1"/>
    </row>
    <row r="395" ht="15.75" customHeight="1">
      <c r="A395" s="1"/>
      <c r="B395" s="1"/>
      <c r="C395" s="1"/>
      <c r="D395" s="1"/>
      <c r="E395" s="1"/>
    </row>
    <row r="396" ht="15.75" customHeight="1">
      <c r="A396" s="1"/>
      <c r="B396" s="1"/>
      <c r="C396" s="1"/>
      <c r="D396" s="1"/>
      <c r="E396" s="1"/>
    </row>
    <row r="397" ht="15.75" customHeight="1">
      <c r="A397" s="1"/>
      <c r="B397" s="1"/>
      <c r="C397" s="1"/>
      <c r="D397" s="1"/>
      <c r="E397" s="1"/>
    </row>
    <row r="398" ht="15.75" customHeight="1">
      <c r="A398" s="1"/>
      <c r="B398" s="1"/>
      <c r="C398" s="1"/>
      <c r="D398" s="1"/>
      <c r="E398" s="1"/>
    </row>
    <row r="399" ht="15.75" customHeight="1">
      <c r="A399" s="1"/>
      <c r="B399" s="1"/>
      <c r="C399" s="1"/>
      <c r="D399" s="1"/>
      <c r="E399" s="1"/>
    </row>
    <row r="400" ht="15.75" customHeight="1">
      <c r="A400" s="1"/>
      <c r="B400" s="1"/>
      <c r="C400" s="1"/>
      <c r="D400" s="1"/>
      <c r="E400" s="1"/>
    </row>
    <row r="401" ht="15.75" customHeight="1">
      <c r="A401" s="1"/>
      <c r="B401" s="1"/>
      <c r="C401" s="1"/>
      <c r="D401" s="1"/>
      <c r="E401" s="1"/>
    </row>
    <row r="402" ht="15.75" customHeight="1">
      <c r="A402" s="1"/>
      <c r="B402" s="1"/>
      <c r="C402" s="1"/>
      <c r="D402" s="1"/>
      <c r="E402" s="1"/>
    </row>
    <row r="403" ht="15.75" customHeight="1">
      <c r="A403" s="1"/>
      <c r="B403" s="1"/>
      <c r="C403" s="1"/>
      <c r="D403" s="1"/>
      <c r="E403" s="1"/>
    </row>
    <row r="404" ht="15.75" customHeight="1">
      <c r="A404" s="1"/>
      <c r="B404" s="1"/>
      <c r="C404" s="1"/>
      <c r="D404" s="1"/>
      <c r="E404" s="1"/>
    </row>
    <row r="405" ht="15.75" customHeight="1">
      <c r="A405" s="1"/>
      <c r="B405" s="1"/>
      <c r="C405" s="1"/>
      <c r="D405" s="1"/>
      <c r="E405" s="1"/>
    </row>
    <row r="406" ht="15.75" customHeight="1">
      <c r="A406" s="1"/>
      <c r="B406" s="1"/>
      <c r="C406" s="1"/>
      <c r="D406" s="1"/>
      <c r="E406" s="1"/>
    </row>
    <row r="407" ht="15.75" customHeight="1">
      <c r="A407" s="1"/>
      <c r="B407" s="1"/>
      <c r="C407" s="1"/>
      <c r="D407" s="1"/>
      <c r="E407" s="1"/>
    </row>
    <row r="408" ht="15.75" customHeight="1">
      <c r="A408" s="1"/>
      <c r="B408" s="1"/>
      <c r="C408" s="1"/>
      <c r="D408" s="1"/>
      <c r="E408" s="1"/>
    </row>
    <row r="409" ht="15.75" customHeight="1">
      <c r="A409" s="1"/>
      <c r="B409" s="1"/>
      <c r="C409" s="1"/>
      <c r="D409" s="1"/>
      <c r="E409" s="1"/>
    </row>
    <row r="410" ht="15.75" customHeight="1">
      <c r="A410" s="1"/>
      <c r="B410" s="1"/>
      <c r="C410" s="1"/>
      <c r="D410" s="1"/>
      <c r="E410" s="1"/>
    </row>
    <row r="411" ht="15.75" customHeight="1">
      <c r="A411" s="1"/>
      <c r="B411" s="1"/>
      <c r="C411" s="1"/>
      <c r="D411" s="1"/>
      <c r="E411" s="1"/>
    </row>
    <row r="412" ht="15.75" customHeight="1">
      <c r="A412" s="1"/>
      <c r="B412" s="1"/>
      <c r="C412" s="1"/>
      <c r="D412" s="1"/>
      <c r="E412" s="1"/>
    </row>
    <row r="413" ht="15.75" customHeight="1">
      <c r="A413" s="1"/>
      <c r="B413" s="1"/>
      <c r="C413" s="1"/>
      <c r="D413" s="1"/>
      <c r="E413" s="1"/>
    </row>
    <row r="414" ht="15.75" customHeight="1">
      <c r="A414" s="1"/>
      <c r="B414" s="1"/>
      <c r="C414" s="1"/>
      <c r="D414" s="1"/>
      <c r="E414" s="1"/>
    </row>
    <row r="415" ht="15.75" customHeight="1">
      <c r="A415" s="1"/>
      <c r="B415" s="1"/>
      <c r="C415" s="1"/>
      <c r="D415" s="1"/>
      <c r="E415" s="1"/>
    </row>
    <row r="416" ht="15.75" customHeight="1">
      <c r="A416" s="1"/>
      <c r="B416" s="1"/>
      <c r="C416" s="1"/>
      <c r="D416" s="1"/>
      <c r="E416" s="1"/>
    </row>
    <row r="417" ht="15.75" customHeight="1">
      <c r="A417" s="1"/>
      <c r="B417" s="1"/>
      <c r="C417" s="1"/>
      <c r="D417" s="1"/>
      <c r="E417" s="1"/>
    </row>
    <row r="418" ht="15.75" customHeight="1">
      <c r="A418" s="1"/>
      <c r="B418" s="1"/>
      <c r="C418" s="1"/>
      <c r="D418" s="1"/>
      <c r="E418" s="1"/>
    </row>
    <row r="419" ht="15.75" customHeight="1">
      <c r="A419" s="1"/>
      <c r="B419" s="1"/>
      <c r="C419" s="1"/>
      <c r="D419" s="1"/>
      <c r="E419" s="1"/>
    </row>
    <row r="420" ht="15.75" customHeight="1">
      <c r="A420" s="1"/>
      <c r="B420" s="1"/>
      <c r="C420" s="1"/>
      <c r="D420" s="1"/>
      <c r="E420" s="1"/>
    </row>
    <row r="421" ht="15.75" customHeight="1">
      <c r="A421" s="1"/>
      <c r="B421" s="1"/>
      <c r="C421" s="1"/>
      <c r="D421" s="1"/>
      <c r="E421" s="1"/>
    </row>
    <row r="422" ht="15.75" customHeight="1">
      <c r="A422" s="1"/>
      <c r="B422" s="1"/>
      <c r="C422" s="1"/>
      <c r="D422" s="1"/>
      <c r="E422" s="1"/>
    </row>
    <row r="423" ht="15.75" customHeight="1">
      <c r="A423" s="1"/>
      <c r="B423" s="1"/>
      <c r="C423" s="1"/>
      <c r="D423" s="1"/>
      <c r="E423" s="1"/>
    </row>
    <row r="424" ht="15.75" customHeight="1">
      <c r="A424" s="1"/>
      <c r="B424" s="1"/>
      <c r="C424" s="1"/>
      <c r="D424" s="1"/>
      <c r="E424" s="1"/>
    </row>
    <row r="425" ht="15.75" customHeight="1">
      <c r="A425" s="1"/>
      <c r="B425" s="1"/>
      <c r="C425" s="1"/>
      <c r="D425" s="1"/>
      <c r="E425" s="1"/>
    </row>
    <row r="426" ht="15.75" customHeight="1">
      <c r="A426" s="1"/>
      <c r="B426" s="1"/>
      <c r="C426" s="1"/>
      <c r="D426" s="1"/>
      <c r="E426" s="1"/>
    </row>
    <row r="427" ht="15.75" customHeight="1">
      <c r="A427" s="1"/>
      <c r="B427" s="1"/>
      <c r="C427" s="1"/>
      <c r="D427" s="1"/>
      <c r="E427" s="1"/>
    </row>
    <row r="428" ht="15.75" customHeight="1">
      <c r="A428" s="1"/>
      <c r="B428" s="1"/>
      <c r="C428" s="1"/>
      <c r="D428" s="1"/>
      <c r="E428" s="1"/>
    </row>
    <row r="429" ht="15.75" customHeight="1">
      <c r="A429" s="1"/>
      <c r="B429" s="1"/>
      <c r="C429" s="1"/>
      <c r="D429" s="1"/>
      <c r="E429" s="1"/>
    </row>
    <row r="430" ht="15.75" customHeight="1">
      <c r="A430" s="1"/>
      <c r="B430" s="1"/>
      <c r="C430" s="1"/>
      <c r="D430" s="1"/>
      <c r="E430" s="1"/>
    </row>
    <row r="431" ht="15.75" customHeight="1">
      <c r="A431" s="1"/>
      <c r="B431" s="1"/>
      <c r="C431" s="1"/>
      <c r="D431" s="1"/>
      <c r="E431" s="1"/>
    </row>
    <row r="432" ht="15.75" customHeight="1">
      <c r="A432" s="1"/>
      <c r="B432" s="1"/>
      <c r="C432" s="1"/>
      <c r="D432" s="1"/>
      <c r="E432" s="1"/>
    </row>
    <row r="433" ht="15.75" customHeight="1">
      <c r="A433" s="1"/>
      <c r="B433" s="1"/>
      <c r="C433" s="1"/>
      <c r="D433" s="1"/>
      <c r="E433" s="1"/>
    </row>
    <row r="434" ht="15.75" customHeight="1">
      <c r="A434" s="1"/>
      <c r="B434" s="1"/>
      <c r="C434" s="1"/>
      <c r="D434" s="1"/>
      <c r="E434" s="1"/>
    </row>
    <row r="435" ht="15.75" customHeight="1">
      <c r="A435" s="1"/>
      <c r="B435" s="1"/>
      <c r="C435" s="1"/>
      <c r="D435" s="1"/>
      <c r="E435" s="1"/>
    </row>
    <row r="436" ht="15.75" customHeight="1">
      <c r="A436" s="1"/>
      <c r="B436" s="1"/>
      <c r="C436" s="1"/>
      <c r="D436" s="1"/>
      <c r="E436" s="1"/>
    </row>
    <row r="437" ht="15.75" customHeight="1">
      <c r="A437" s="1"/>
      <c r="B437" s="1"/>
      <c r="C437" s="1"/>
      <c r="D437" s="1"/>
      <c r="E437" s="1"/>
    </row>
    <row r="438" ht="15.75" customHeight="1">
      <c r="A438" s="1"/>
      <c r="B438" s="1"/>
      <c r="C438" s="1"/>
      <c r="D438" s="1"/>
      <c r="E438" s="1"/>
    </row>
    <row r="439" ht="15.75" customHeight="1">
      <c r="A439" s="1"/>
      <c r="B439" s="1"/>
      <c r="C439" s="1"/>
      <c r="D439" s="1"/>
      <c r="E439" s="1"/>
    </row>
    <row r="440" ht="15.75" customHeight="1">
      <c r="A440" s="1"/>
      <c r="B440" s="1"/>
      <c r="C440" s="1"/>
      <c r="D440" s="1"/>
      <c r="E440" s="1"/>
    </row>
    <row r="441" ht="15.75" customHeight="1">
      <c r="A441" s="1"/>
      <c r="B441" s="1"/>
      <c r="C441" s="1"/>
      <c r="D441" s="1"/>
      <c r="E441" s="1"/>
    </row>
    <row r="442" ht="15.75" customHeight="1">
      <c r="A442" s="1"/>
      <c r="B442" s="1"/>
      <c r="C442" s="1"/>
      <c r="D442" s="1"/>
      <c r="E442" s="1"/>
    </row>
    <row r="443" ht="15.75" customHeight="1">
      <c r="A443" s="1"/>
      <c r="B443" s="1"/>
      <c r="C443" s="1"/>
      <c r="D443" s="1"/>
      <c r="E443" s="1"/>
    </row>
    <row r="444" ht="15.75" customHeight="1">
      <c r="A444" s="1"/>
      <c r="B444" s="1"/>
      <c r="C444" s="1"/>
      <c r="D444" s="1"/>
      <c r="E444" s="1"/>
    </row>
    <row r="445" ht="15.75" customHeight="1">
      <c r="A445" s="1"/>
      <c r="B445" s="1"/>
      <c r="C445" s="1"/>
      <c r="D445" s="1"/>
      <c r="E445" s="1"/>
    </row>
    <row r="446" ht="15.75" customHeight="1">
      <c r="A446" s="1"/>
      <c r="B446" s="1"/>
      <c r="C446" s="1"/>
      <c r="D446" s="1"/>
      <c r="E446" s="1"/>
    </row>
    <row r="447" ht="15.75" customHeight="1">
      <c r="A447" s="1"/>
      <c r="B447" s="1"/>
      <c r="C447" s="1"/>
      <c r="D447" s="1"/>
      <c r="E447" s="1"/>
    </row>
    <row r="448" ht="15.75" customHeight="1">
      <c r="A448" s="1"/>
      <c r="B448" s="1"/>
      <c r="C448" s="1"/>
      <c r="D448" s="1"/>
      <c r="E448" s="1"/>
    </row>
    <row r="449" ht="15.75" customHeight="1">
      <c r="A449" s="1"/>
      <c r="B449" s="1"/>
      <c r="C449" s="1"/>
      <c r="D449" s="1"/>
      <c r="E449" s="1"/>
    </row>
    <row r="450" ht="15.75" customHeight="1">
      <c r="A450" s="1"/>
      <c r="B450" s="1"/>
      <c r="C450" s="1"/>
      <c r="D450" s="1"/>
      <c r="E450" s="1"/>
    </row>
    <row r="451" ht="15.75" customHeight="1">
      <c r="A451" s="1"/>
      <c r="B451" s="1"/>
      <c r="C451" s="1"/>
      <c r="D451" s="1"/>
      <c r="E451" s="1"/>
    </row>
    <row r="452" ht="15.75" customHeight="1">
      <c r="A452" s="1"/>
      <c r="B452" s="1"/>
      <c r="C452" s="1"/>
      <c r="D452" s="1"/>
      <c r="E452" s="1"/>
    </row>
    <row r="453" ht="15.75" customHeight="1">
      <c r="A453" s="1"/>
      <c r="B453" s="1"/>
      <c r="C453" s="1"/>
      <c r="D453" s="1"/>
      <c r="E453" s="1"/>
    </row>
    <row r="454" ht="15.75" customHeight="1">
      <c r="A454" s="1"/>
      <c r="B454" s="1"/>
      <c r="C454" s="1"/>
      <c r="D454" s="1"/>
      <c r="E454" s="1"/>
    </row>
    <row r="455" ht="15.75" customHeight="1">
      <c r="A455" s="1"/>
      <c r="B455" s="1"/>
      <c r="C455" s="1"/>
      <c r="D455" s="1"/>
      <c r="E455" s="1"/>
    </row>
    <row r="456" ht="15.75" customHeight="1">
      <c r="A456" s="1"/>
      <c r="B456" s="1"/>
      <c r="C456" s="1"/>
      <c r="D456" s="1"/>
      <c r="E456" s="1"/>
    </row>
    <row r="457" ht="15.75" customHeight="1">
      <c r="A457" s="1"/>
      <c r="B457" s="1"/>
      <c r="C457" s="1"/>
      <c r="D457" s="1"/>
      <c r="E457" s="1"/>
    </row>
    <row r="458" ht="15.75" customHeight="1">
      <c r="A458" s="1"/>
      <c r="B458" s="1"/>
      <c r="C458" s="1"/>
      <c r="D458" s="1"/>
      <c r="E458" s="1"/>
    </row>
    <row r="459" ht="15.75" customHeight="1">
      <c r="A459" s="1"/>
      <c r="B459" s="1"/>
      <c r="C459" s="1"/>
      <c r="D459" s="1"/>
      <c r="E459" s="1"/>
    </row>
    <row r="460" ht="15.75" customHeight="1">
      <c r="A460" s="1"/>
      <c r="B460" s="1"/>
      <c r="C460" s="1"/>
      <c r="D460" s="1"/>
      <c r="E460" s="1"/>
    </row>
    <row r="461" ht="15.75" customHeight="1">
      <c r="A461" s="1"/>
      <c r="B461" s="1"/>
      <c r="C461" s="1"/>
      <c r="D461" s="1"/>
      <c r="E461" s="1"/>
    </row>
    <row r="462" ht="15.75" customHeight="1">
      <c r="A462" s="1"/>
      <c r="B462" s="1"/>
      <c r="C462" s="1"/>
      <c r="D462" s="1"/>
      <c r="E462" s="1"/>
    </row>
    <row r="463" ht="15.75" customHeight="1">
      <c r="A463" s="1"/>
      <c r="B463" s="1"/>
      <c r="C463" s="1"/>
      <c r="D463" s="1"/>
      <c r="E463" s="1"/>
    </row>
    <row r="464" ht="15.75" customHeight="1">
      <c r="A464" s="1"/>
      <c r="B464" s="1"/>
      <c r="C464" s="1"/>
      <c r="D464" s="1"/>
      <c r="E464" s="1"/>
    </row>
    <row r="465" ht="15.75" customHeight="1">
      <c r="A465" s="1"/>
      <c r="B465" s="1"/>
      <c r="C465" s="1"/>
      <c r="D465" s="1"/>
      <c r="E465" s="1"/>
    </row>
    <row r="466" ht="15.75" customHeight="1">
      <c r="A466" s="1"/>
      <c r="B466" s="1"/>
      <c r="C466" s="1"/>
      <c r="D466" s="1"/>
      <c r="E466" s="1"/>
    </row>
    <row r="467" ht="15.75" customHeight="1">
      <c r="A467" s="1"/>
      <c r="B467" s="1"/>
      <c r="C467" s="1"/>
      <c r="D467" s="1"/>
      <c r="E467" s="1"/>
    </row>
    <row r="468" ht="15.75" customHeight="1">
      <c r="A468" s="1"/>
      <c r="B468" s="1"/>
      <c r="C468" s="1"/>
      <c r="D468" s="1"/>
      <c r="E468" s="1"/>
    </row>
    <row r="469" ht="15.75" customHeight="1">
      <c r="A469" s="1"/>
      <c r="B469" s="1"/>
      <c r="C469" s="1"/>
      <c r="D469" s="1"/>
      <c r="E469" s="1"/>
    </row>
    <row r="470" ht="15.75" customHeight="1">
      <c r="A470" s="1"/>
      <c r="B470" s="1"/>
      <c r="C470" s="1"/>
      <c r="D470" s="1"/>
      <c r="E470" s="1"/>
    </row>
    <row r="471" ht="15.75" customHeight="1">
      <c r="A471" s="1"/>
      <c r="B471" s="1"/>
      <c r="C471" s="1"/>
      <c r="D471" s="1"/>
      <c r="E471" s="1"/>
    </row>
    <row r="472" ht="15.75" customHeight="1">
      <c r="A472" s="1"/>
      <c r="B472" s="1"/>
      <c r="C472" s="1"/>
      <c r="D472" s="1"/>
      <c r="E472" s="1"/>
    </row>
    <row r="473" ht="15.75" customHeight="1">
      <c r="A473" s="1"/>
      <c r="B473" s="1"/>
      <c r="C473" s="1"/>
      <c r="D473" s="1"/>
      <c r="E473" s="1"/>
    </row>
    <row r="474" ht="15.75" customHeight="1">
      <c r="A474" s="1"/>
      <c r="B474" s="1"/>
      <c r="C474" s="1"/>
      <c r="D474" s="1"/>
      <c r="E474" s="1"/>
    </row>
    <row r="475" ht="15.75" customHeight="1">
      <c r="A475" s="1"/>
      <c r="B475" s="1"/>
      <c r="C475" s="1"/>
      <c r="D475" s="1"/>
      <c r="E475" s="1"/>
    </row>
    <row r="476" ht="15.75" customHeight="1">
      <c r="A476" s="1"/>
      <c r="B476" s="1"/>
      <c r="C476" s="1"/>
      <c r="D476" s="1"/>
      <c r="E476" s="1"/>
    </row>
    <row r="477" ht="15.75" customHeight="1">
      <c r="A477" s="1"/>
      <c r="B477" s="1"/>
      <c r="C477" s="1"/>
      <c r="D477" s="1"/>
      <c r="E477" s="1"/>
    </row>
    <row r="478" ht="15.75" customHeight="1">
      <c r="A478" s="1"/>
      <c r="B478" s="1"/>
      <c r="C478" s="1"/>
      <c r="D478" s="1"/>
      <c r="E478" s="1"/>
    </row>
    <row r="479" ht="15.75" customHeight="1">
      <c r="A479" s="1"/>
      <c r="B479" s="1"/>
      <c r="C479" s="1"/>
      <c r="D479" s="1"/>
      <c r="E479" s="1"/>
    </row>
    <row r="480" ht="15.75" customHeight="1">
      <c r="A480" s="1"/>
      <c r="B480" s="1"/>
      <c r="C480" s="1"/>
      <c r="D480" s="1"/>
      <c r="E480" s="1"/>
    </row>
    <row r="481" ht="15.75" customHeight="1">
      <c r="A481" s="1"/>
      <c r="B481" s="1"/>
      <c r="C481" s="1"/>
      <c r="D481" s="1"/>
      <c r="E481" s="1"/>
    </row>
    <row r="482" ht="15.75" customHeight="1">
      <c r="A482" s="1"/>
      <c r="B482" s="1"/>
      <c r="C482" s="1"/>
      <c r="D482" s="1"/>
      <c r="E482" s="1"/>
    </row>
    <row r="483" ht="15.75" customHeight="1">
      <c r="A483" s="1"/>
      <c r="B483" s="1"/>
      <c r="C483" s="1"/>
      <c r="D483" s="1"/>
      <c r="E483" s="1"/>
    </row>
    <row r="484" ht="15.75" customHeight="1">
      <c r="A484" s="1"/>
      <c r="B484" s="1"/>
      <c r="C484" s="1"/>
      <c r="D484" s="1"/>
      <c r="E484" s="1"/>
    </row>
    <row r="485" ht="15.75" customHeight="1">
      <c r="A485" s="1"/>
      <c r="B485" s="1"/>
      <c r="C485" s="1"/>
      <c r="D485" s="1"/>
      <c r="E485" s="1"/>
    </row>
    <row r="486" ht="15.75" customHeight="1">
      <c r="A486" s="1"/>
      <c r="B486" s="1"/>
      <c r="C486" s="1"/>
      <c r="D486" s="1"/>
      <c r="E486" s="1"/>
    </row>
    <row r="487" ht="15.75" customHeight="1">
      <c r="A487" s="1"/>
      <c r="B487" s="1"/>
      <c r="C487" s="1"/>
      <c r="D487" s="1"/>
      <c r="E487" s="1"/>
    </row>
    <row r="488" ht="15.75" customHeight="1">
      <c r="A488" s="1"/>
      <c r="B488" s="1"/>
      <c r="C488" s="1"/>
      <c r="D488" s="1"/>
      <c r="E488" s="1"/>
    </row>
    <row r="489" ht="15.75" customHeight="1">
      <c r="A489" s="1"/>
      <c r="B489" s="1"/>
      <c r="C489" s="1"/>
      <c r="D489" s="1"/>
      <c r="E489" s="1"/>
    </row>
    <row r="490" ht="15.75" customHeight="1">
      <c r="A490" s="1"/>
      <c r="B490" s="1"/>
      <c r="C490" s="1"/>
      <c r="D490" s="1"/>
      <c r="E490" s="1"/>
    </row>
    <row r="491" ht="15.75" customHeight="1">
      <c r="A491" s="1"/>
      <c r="B491" s="1"/>
      <c r="C491" s="1"/>
      <c r="D491" s="1"/>
      <c r="E491" s="1"/>
    </row>
    <row r="492" ht="15.75" customHeight="1">
      <c r="A492" s="1"/>
      <c r="B492" s="1"/>
      <c r="C492" s="1"/>
      <c r="D492" s="1"/>
      <c r="E492" s="1"/>
    </row>
    <row r="493" ht="15.75" customHeight="1">
      <c r="A493" s="1"/>
      <c r="B493" s="1"/>
      <c r="C493" s="1"/>
      <c r="D493" s="1"/>
      <c r="E493" s="1"/>
    </row>
    <row r="494" ht="15.75" customHeight="1">
      <c r="A494" s="1"/>
      <c r="B494" s="1"/>
      <c r="C494" s="1"/>
      <c r="D494" s="1"/>
      <c r="E494" s="1"/>
    </row>
    <row r="495" ht="15.75" customHeight="1">
      <c r="A495" s="1"/>
      <c r="B495" s="1"/>
      <c r="C495" s="1"/>
      <c r="D495" s="1"/>
      <c r="E495" s="1"/>
    </row>
    <row r="496" ht="15.75" customHeight="1">
      <c r="A496" s="1"/>
      <c r="B496" s="1"/>
      <c r="C496" s="1"/>
      <c r="D496" s="1"/>
      <c r="E496" s="1"/>
    </row>
    <row r="497" ht="15.75" customHeight="1">
      <c r="A497" s="1"/>
      <c r="B497" s="1"/>
      <c r="C497" s="1"/>
      <c r="D497" s="1"/>
      <c r="E497" s="1"/>
    </row>
    <row r="498" ht="15.75" customHeight="1">
      <c r="A498" s="1"/>
      <c r="B498" s="1"/>
      <c r="C498" s="1"/>
      <c r="D498" s="1"/>
      <c r="E498" s="1"/>
    </row>
    <row r="499" ht="15.75" customHeight="1">
      <c r="A499" s="1"/>
      <c r="B499" s="1"/>
      <c r="C499" s="1"/>
      <c r="D499" s="1"/>
      <c r="E499" s="1"/>
    </row>
    <row r="500" ht="15.75" customHeight="1">
      <c r="A500" s="1"/>
      <c r="B500" s="1"/>
      <c r="C500" s="1"/>
      <c r="D500" s="1"/>
      <c r="E500" s="1"/>
    </row>
    <row r="501" ht="15.75" customHeight="1">
      <c r="A501" s="1"/>
      <c r="B501" s="1"/>
      <c r="C501" s="1"/>
      <c r="D501" s="1"/>
      <c r="E501" s="1"/>
    </row>
    <row r="502" ht="15.75" customHeight="1">
      <c r="A502" s="1"/>
      <c r="B502" s="1"/>
      <c r="C502" s="1"/>
      <c r="D502" s="1"/>
      <c r="E502" s="1"/>
    </row>
    <row r="503" ht="15.75" customHeight="1">
      <c r="A503" s="1"/>
      <c r="B503" s="1"/>
      <c r="C503" s="1"/>
      <c r="D503" s="1"/>
      <c r="E503" s="1"/>
    </row>
    <row r="504" ht="15.75" customHeight="1">
      <c r="A504" s="1"/>
      <c r="B504" s="1"/>
      <c r="C504" s="1"/>
      <c r="D504" s="1"/>
      <c r="E504" s="1"/>
    </row>
    <row r="505" ht="15.75" customHeight="1">
      <c r="A505" s="1"/>
      <c r="B505" s="1"/>
      <c r="C505" s="1"/>
      <c r="D505" s="1"/>
      <c r="E505" s="1"/>
    </row>
    <row r="506" ht="15.75" customHeight="1">
      <c r="A506" s="1"/>
      <c r="B506" s="1"/>
      <c r="C506" s="1"/>
      <c r="D506" s="1"/>
      <c r="E506" s="1"/>
    </row>
    <row r="507" ht="15.75" customHeight="1">
      <c r="A507" s="1"/>
      <c r="B507" s="1"/>
      <c r="C507" s="1"/>
      <c r="D507" s="1"/>
      <c r="E507" s="1"/>
    </row>
    <row r="508" ht="15.75" customHeight="1">
      <c r="A508" s="1"/>
      <c r="B508" s="1"/>
      <c r="C508" s="1"/>
      <c r="D508" s="1"/>
      <c r="E508" s="1"/>
    </row>
    <row r="509" ht="15.75" customHeight="1">
      <c r="A509" s="1"/>
      <c r="B509" s="1"/>
      <c r="C509" s="1"/>
      <c r="D509" s="1"/>
      <c r="E509" s="1"/>
    </row>
    <row r="510" ht="15.75" customHeight="1">
      <c r="A510" s="1"/>
      <c r="B510" s="1"/>
      <c r="C510" s="1"/>
      <c r="D510" s="1"/>
      <c r="E510" s="1"/>
    </row>
    <row r="511" ht="15.75" customHeight="1">
      <c r="A511" s="1"/>
      <c r="B511" s="1"/>
      <c r="C511" s="1"/>
      <c r="D511" s="1"/>
      <c r="E511" s="1"/>
    </row>
    <row r="512" ht="15.75" customHeight="1">
      <c r="A512" s="1"/>
      <c r="B512" s="1"/>
      <c r="C512" s="1"/>
      <c r="D512" s="1"/>
      <c r="E512" s="1"/>
    </row>
    <row r="513" ht="15.75" customHeight="1">
      <c r="A513" s="1"/>
      <c r="B513" s="1"/>
      <c r="C513" s="1"/>
      <c r="D513" s="1"/>
      <c r="E513" s="1"/>
    </row>
    <row r="514" ht="15.75" customHeight="1">
      <c r="A514" s="1"/>
      <c r="B514" s="1"/>
      <c r="C514" s="1"/>
      <c r="D514" s="1"/>
      <c r="E514" s="1"/>
    </row>
    <row r="515" ht="15.75" customHeight="1">
      <c r="A515" s="1"/>
      <c r="B515" s="1"/>
      <c r="C515" s="1"/>
      <c r="D515" s="1"/>
      <c r="E515" s="1"/>
    </row>
    <row r="516" ht="15.75" customHeight="1">
      <c r="A516" s="1"/>
      <c r="B516" s="1"/>
      <c r="C516" s="1"/>
      <c r="D516" s="1"/>
      <c r="E516" s="1"/>
    </row>
    <row r="517" ht="15.75" customHeight="1">
      <c r="A517" s="1"/>
      <c r="B517" s="1"/>
      <c r="C517" s="1"/>
      <c r="D517" s="1"/>
      <c r="E517" s="1"/>
    </row>
    <row r="518" ht="15.75" customHeight="1">
      <c r="A518" s="1"/>
      <c r="B518" s="1"/>
      <c r="C518" s="1"/>
      <c r="D518" s="1"/>
      <c r="E518" s="1"/>
    </row>
    <row r="519" ht="15.75" customHeight="1">
      <c r="A519" s="1"/>
      <c r="B519" s="1"/>
      <c r="C519" s="1"/>
      <c r="D519" s="1"/>
      <c r="E519" s="1"/>
    </row>
    <row r="520" ht="15.75" customHeight="1">
      <c r="A520" s="1"/>
      <c r="B520" s="1"/>
      <c r="C520" s="1"/>
      <c r="D520" s="1"/>
      <c r="E520" s="1"/>
    </row>
    <row r="521" ht="15.75" customHeight="1">
      <c r="A521" s="1"/>
      <c r="B521" s="1"/>
      <c r="C521" s="1"/>
      <c r="D521" s="1"/>
      <c r="E521" s="1"/>
    </row>
    <row r="522" ht="15.75" customHeight="1">
      <c r="A522" s="1"/>
      <c r="B522" s="1"/>
      <c r="C522" s="1"/>
      <c r="D522" s="1"/>
      <c r="E522" s="1"/>
    </row>
    <row r="523" ht="15.75" customHeight="1">
      <c r="A523" s="1"/>
      <c r="B523" s="1"/>
      <c r="C523" s="1"/>
      <c r="D523" s="1"/>
      <c r="E523" s="1"/>
    </row>
    <row r="524" ht="15.75" customHeight="1">
      <c r="A524" s="1"/>
      <c r="B524" s="1"/>
      <c r="C524" s="1"/>
      <c r="D524" s="1"/>
      <c r="E524" s="1"/>
    </row>
    <row r="525" ht="15.75" customHeight="1">
      <c r="A525" s="1"/>
      <c r="B525" s="1"/>
      <c r="C525" s="1"/>
      <c r="D525" s="1"/>
      <c r="E525" s="1"/>
    </row>
    <row r="526" ht="15.75" customHeight="1">
      <c r="A526" s="1"/>
      <c r="B526" s="1"/>
      <c r="C526" s="1"/>
      <c r="D526" s="1"/>
      <c r="E526" s="1"/>
    </row>
    <row r="527" ht="15.75" customHeight="1">
      <c r="A527" s="1"/>
      <c r="B527" s="1"/>
      <c r="C527" s="1"/>
      <c r="D527" s="1"/>
      <c r="E527" s="1"/>
    </row>
    <row r="528" ht="15.75" customHeight="1">
      <c r="A528" s="1"/>
      <c r="B528" s="1"/>
      <c r="C528" s="1"/>
      <c r="D528" s="1"/>
      <c r="E528" s="1"/>
    </row>
    <row r="529" ht="15.75" customHeight="1">
      <c r="A529" s="1"/>
      <c r="B529" s="1"/>
      <c r="C529" s="1"/>
      <c r="D529" s="1"/>
      <c r="E529" s="1"/>
    </row>
    <row r="530" ht="15.75" customHeight="1">
      <c r="A530" s="1"/>
      <c r="B530" s="1"/>
      <c r="C530" s="1"/>
      <c r="D530" s="1"/>
      <c r="E530" s="1"/>
    </row>
    <row r="531" ht="15.75" customHeight="1">
      <c r="A531" s="1"/>
      <c r="B531" s="1"/>
      <c r="C531" s="1"/>
      <c r="D531" s="1"/>
      <c r="E531" s="1"/>
    </row>
    <row r="532" ht="15.75" customHeight="1">
      <c r="A532" s="1"/>
      <c r="B532" s="1"/>
      <c r="C532" s="1"/>
      <c r="D532" s="1"/>
      <c r="E532" s="1"/>
    </row>
    <row r="533" ht="15.75" customHeight="1">
      <c r="A533" s="1"/>
      <c r="B533" s="1"/>
      <c r="C533" s="1"/>
      <c r="D533" s="1"/>
      <c r="E533" s="1"/>
    </row>
    <row r="534" ht="15.75" customHeight="1">
      <c r="A534" s="1"/>
      <c r="B534" s="1"/>
      <c r="C534" s="1"/>
      <c r="D534" s="1"/>
      <c r="E534" s="1"/>
    </row>
    <row r="535" ht="15.75" customHeight="1">
      <c r="A535" s="1"/>
      <c r="B535" s="1"/>
      <c r="C535" s="1"/>
      <c r="D535" s="1"/>
      <c r="E535" s="1"/>
    </row>
    <row r="536" ht="15.75" customHeight="1">
      <c r="A536" s="1"/>
      <c r="B536" s="1"/>
      <c r="C536" s="1"/>
      <c r="D536" s="1"/>
      <c r="E536" s="1"/>
    </row>
    <row r="537" ht="15.75" customHeight="1">
      <c r="A537" s="1"/>
      <c r="B537" s="1"/>
      <c r="C537" s="1"/>
      <c r="D537" s="1"/>
      <c r="E537" s="1"/>
    </row>
    <row r="538" ht="15.75" customHeight="1">
      <c r="A538" s="1"/>
      <c r="B538" s="1"/>
      <c r="C538" s="1"/>
      <c r="D538" s="1"/>
      <c r="E538" s="1"/>
    </row>
    <row r="539" ht="15.75" customHeight="1">
      <c r="A539" s="1"/>
      <c r="B539" s="1"/>
      <c r="C539" s="1"/>
      <c r="D539" s="1"/>
      <c r="E539" s="1"/>
    </row>
    <row r="540" ht="15.75" customHeight="1">
      <c r="A540" s="1"/>
      <c r="B540" s="1"/>
      <c r="C540" s="1"/>
      <c r="D540" s="1"/>
      <c r="E540" s="1"/>
    </row>
    <row r="541" ht="15.75" customHeight="1">
      <c r="A541" s="1"/>
      <c r="B541" s="1"/>
      <c r="C541" s="1"/>
      <c r="D541" s="1"/>
      <c r="E541" s="1"/>
    </row>
    <row r="542" ht="15.75" customHeight="1">
      <c r="A542" s="1"/>
      <c r="B542" s="1"/>
      <c r="C542" s="1"/>
      <c r="D542" s="1"/>
      <c r="E542" s="1"/>
    </row>
    <row r="543" ht="15.75" customHeight="1">
      <c r="A543" s="1"/>
      <c r="B543" s="1"/>
      <c r="C543" s="1"/>
      <c r="D543" s="1"/>
      <c r="E543" s="1"/>
    </row>
    <row r="544" ht="15.75" customHeight="1">
      <c r="A544" s="1"/>
      <c r="B544" s="1"/>
      <c r="C544" s="1"/>
      <c r="D544" s="1"/>
      <c r="E544" s="1"/>
    </row>
    <row r="545" ht="15.75" customHeight="1">
      <c r="A545" s="1"/>
      <c r="B545" s="1"/>
      <c r="C545" s="1"/>
      <c r="D545" s="1"/>
      <c r="E545" s="1"/>
    </row>
    <row r="546" ht="15.75" customHeight="1">
      <c r="A546" s="1"/>
      <c r="B546" s="1"/>
      <c r="C546" s="1"/>
      <c r="D546" s="1"/>
      <c r="E546" s="1"/>
    </row>
    <row r="547" ht="15.75" customHeight="1">
      <c r="A547" s="1"/>
      <c r="B547" s="1"/>
      <c r="C547" s="1"/>
      <c r="D547" s="1"/>
      <c r="E547" s="1"/>
    </row>
    <row r="548" ht="15.75" customHeight="1">
      <c r="A548" s="1"/>
      <c r="B548" s="1"/>
      <c r="C548" s="1"/>
      <c r="D548" s="1"/>
      <c r="E548" s="1"/>
    </row>
    <row r="549" ht="15.75" customHeight="1">
      <c r="A549" s="1"/>
      <c r="B549" s="1"/>
      <c r="C549" s="1"/>
      <c r="D549" s="1"/>
      <c r="E549" s="1"/>
    </row>
    <row r="550" ht="15.75" customHeight="1">
      <c r="A550" s="1"/>
      <c r="B550" s="1"/>
      <c r="C550" s="1"/>
      <c r="D550" s="1"/>
      <c r="E550" s="1"/>
    </row>
    <row r="551" ht="15.75" customHeight="1">
      <c r="A551" s="1"/>
      <c r="B551" s="1"/>
      <c r="C551" s="1"/>
      <c r="D551" s="1"/>
      <c r="E551" s="1"/>
    </row>
    <row r="552" ht="15.75" customHeight="1">
      <c r="A552" s="1"/>
      <c r="B552" s="1"/>
      <c r="C552" s="1"/>
      <c r="D552" s="1"/>
      <c r="E552" s="1"/>
    </row>
    <row r="553" ht="15.75" customHeight="1">
      <c r="A553" s="1"/>
      <c r="B553" s="1"/>
      <c r="C553" s="1"/>
      <c r="D553" s="1"/>
      <c r="E553" s="1"/>
    </row>
    <row r="554" ht="15.75" customHeight="1">
      <c r="A554" s="1"/>
      <c r="B554" s="1"/>
      <c r="C554" s="1"/>
      <c r="D554" s="1"/>
      <c r="E554" s="1"/>
    </row>
    <row r="555" ht="15.75" customHeight="1">
      <c r="A555" s="1"/>
      <c r="B555" s="1"/>
      <c r="C555" s="1"/>
      <c r="D555" s="1"/>
      <c r="E555" s="1"/>
    </row>
    <row r="556" ht="15.75" customHeight="1">
      <c r="A556" s="1"/>
      <c r="B556" s="1"/>
      <c r="C556" s="1"/>
      <c r="D556" s="1"/>
      <c r="E556" s="1"/>
    </row>
    <row r="557" ht="15.75" customHeight="1">
      <c r="A557" s="1"/>
      <c r="B557" s="1"/>
      <c r="C557" s="1"/>
      <c r="D557" s="1"/>
      <c r="E557" s="1"/>
    </row>
    <row r="558" ht="15.75" customHeight="1">
      <c r="A558" s="1"/>
      <c r="B558" s="1"/>
      <c r="C558" s="1"/>
      <c r="D558" s="1"/>
      <c r="E558" s="1"/>
    </row>
    <row r="559" ht="15.75" customHeight="1">
      <c r="A559" s="1"/>
      <c r="B559" s="1"/>
      <c r="C559" s="1"/>
      <c r="D559" s="1"/>
      <c r="E559" s="1"/>
    </row>
    <row r="560" ht="15.75" customHeight="1">
      <c r="A560" s="1"/>
      <c r="B560" s="1"/>
      <c r="C560" s="1"/>
      <c r="D560" s="1"/>
      <c r="E560" s="1"/>
    </row>
    <row r="561" ht="15.75" customHeight="1">
      <c r="A561" s="1"/>
      <c r="B561" s="1"/>
      <c r="C561" s="1"/>
      <c r="D561" s="1"/>
      <c r="E561" s="1"/>
    </row>
    <row r="562" ht="15.75" customHeight="1">
      <c r="A562" s="1"/>
      <c r="B562" s="1"/>
      <c r="C562" s="1"/>
      <c r="D562" s="1"/>
      <c r="E562" s="1"/>
    </row>
    <row r="563" ht="15.75" customHeight="1">
      <c r="A563" s="1"/>
      <c r="B563" s="1"/>
      <c r="C563" s="1"/>
      <c r="D563" s="1"/>
      <c r="E563" s="1"/>
    </row>
    <row r="564" ht="15.75" customHeight="1">
      <c r="A564" s="1"/>
      <c r="B564" s="1"/>
      <c r="C564" s="1"/>
      <c r="D564" s="1"/>
      <c r="E564" s="1"/>
    </row>
    <row r="565" ht="15.75" customHeight="1">
      <c r="A565" s="1"/>
      <c r="B565" s="1"/>
      <c r="C565" s="1"/>
      <c r="D565" s="1"/>
      <c r="E565" s="1"/>
    </row>
    <row r="566" ht="15.75" customHeight="1">
      <c r="A566" s="1"/>
      <c r="B566" s="1"/>
      <c r="C566" s="1"/>
      <c r="D566" s="1"/>
      <c r="E566" s="1"/>
    </row>
    <row r="567" ht="15.75" customHeight="1">
      <c r="A567" s="1"/>
      <c r="B567" s="1"/>
      <c r="C567" s="1"/>
      <c r="D567" s="1"/>
      <c r="E567" s="1"/>
    </row>
    <row r="568" ht="15.75" customHeight="1">
      <c r="A568" s="1"/>
      <c r="B568" s="1"/>
      <c r="C568" s="1"/>
      <c r="D568" s="1"/>
      <c r="E568" s="1"/>
    </row>
    <row r="569" ht="15.75" customHeight="1">
      <c r="A569" s="1"/>
      <c r="B569" s="1"/>
      <c r="C569" s="1"/>
      <c r="D569" s="1"/>
      <c r="E569" s="1"/>
    </row>
    <row r="570" ht="15.75" customHeight="1">
      <c r="A570" s="1"/>
      <c r="B570" s="1"/>
      <c r="C570" s="1"/>
      <c r="D570" s="1"/>
      <c r="E570" s="1"/>
    </row>
    <row r="571" ht="15.75" customHeight="1">
      <c r="A571" s="1"/>
      <c r="B571" s="1"/>
      <c r="C571" s="1"/>
      <c r="D571" s="1"/>
      <c r="E571" s="1"/>
    </row>
    <row r="572" ht="15.75" customHeight="1">
      <c r="A572" s="1"/>
      <c r="B572" s="1"/>
      <c r="C572" s="1"/>
      <c r="D572" s="1"/>
      <c r="E572" s="1"/>
    </row>
    <row r="573" ht="15.75" customHeight="1">
      <c r="A573" s="1"/>
      <c r="B573" s="1"/>
      <c r="C573" s="1"/>
      <c r="D573" s="1"/>
      <c r="E573" s="1"/>
    </row>
    <row r="574" ht="15.75" customHeight="1">
      <c r="A574" s="1"/>
      <c r="B574" s="1"/>
      <c r="C574" s="1"/>
      <c r="D574" s="1"/>
      <c r="E574" s="1"/>
    </row>
    <row r="575" ht="15.75" customHeight="1">
      <c r="A575" s="1"/>
      <c r="B575" s="1"/>
      <c r="C575" s="1"/>
      <c r="D575" s="1"/>
      <c r="E575" s="1"/>
    </row>
    <row r="576" ht="15.75" customHeight="1">
      <c r="A576" s="1"/>
      <c r="B576" s="1"/>
      <c r="C576" s="1"/>
      <c r="D576" s="1"/>
      <c r="E576" s="1"/>
    </row>
    <row r="577" ht="15.75" customHeight="1">
      <c r="A577" s="1"/>
      <c r="B577" s="1"/>
      <c r="C577" s="1"/>
      <c r="D577" s="1"/>
      <c r="E577" s="1"/>
    </row>
    <row r="578" ht="15.75" customHeight="1">
      <c r="A578" s="1"/>
      <c r="B578" s="1"/>
      <c r="C578" s="1"/>
      <c r="D578" s="1"/>
      <c r="E578" s="1"/>
    </row>
    <row r="579" ht="15.75" customHeight="1">
      <c r="A579" s="1"/>
      <c r="B579" s="1"/>
      <c r="C579" s="1"/>
      <c r="D579" s="1"/>
      <c r="E579" s="1"/>
    </row>
    <row r="580" ht="15.75" customHeight="1">
      <c r="A580" s="1"/>
      <c r="B580" s="1"/>
      <c r="C580" s="1"/>
      <c r="D580" s="1"/>
      <c r="E580" s="1"/>
    </row>
    <row r="581" ht="15.75" customHeight="1">
      <c r="A581" s="1"/>
      <c r="B581" s="1"/>
      <c r="C581" s="1"/>
      <c r="D581" s="1"/>
      <c r="E581" s="1"/>
    </row>
    <row r="582" ht="15.75" customHeight="1">
      <c r="A582" s="1"/>
      <c r="B582" s="1"/>
      <c r="C582" s="1"/>
      <c r="D582" s="1"/>
      <c r="E582" s="1"/>
    </row>
    <row r="583" ht="15.75" customHeight="1">
      <c r="A583" s="1"/>
      <c r="B583" s="1"/>
      <c r="C583" s="1"/>
      <c r="D583" s="1"/>
      <c r="E583" s="1"/>
    </row>
    <row r="584" ht="15.75" customHeight="1">
      <c r="A584" s="1"/>
      <c r="B584" s="1"/>
      <c r="C584" s="1"/>
      <c r="D584" s="1"/>
      <c r="E584" s="1"/>
    </row>
    <row r="585" ht="15.75" customHeight="1">
      <c r="A585" s="1"/>
      <c r="B585" s="1"/>
      <c r="C585" s="1"/>
      <c r="D585" s="1"/>
      <c r="E585" s="1"/>
    </row>
    <row r="586" ht="15.75" customHeight="1">
      <c r="A586" s="1"/>
      <c r="B586" s="1"/>
      <c r="C586" s="1"/>
      <c r="D586" s="1"/>
      <c r="E586" s="1"/>
    </row>
    <row r="587" ht="15.75" customHeight="1">
      <c r="A587" s="1"/>
      <c r="B587" s="1"/>
      <c r="C587" s="1"/>
      <c r="D587" s="1"/>
      <c r="E587" s="1"/>
    </row>
    <row r="588" ht="15.75" customHeight="1">
      <c r="A588" s="1"/>
      <c r="B588" s="1"/>
      <c r="C588" s="1"/>
      <c r="D588" s="1"/>
      <c r="E588" s="1"/>
    </row>
    <row r="589" ht="15.75" customHeight="1">
      <c r="A589" s="1"/>
      <c r="B589" s="1"/>
      <c r="C589" s="1"/>
      <c r="D589" s="1"/>
      <c r="E589" s="1"/>
    </row>
    <row r="590" ht="15.75" customHeight="1">
      <c r="A590" s="1"/>
      <c r="B590" s="1"/>
      <c r="C590" s="1"/>
      <c r="D590" s="1"/>
      <c r="E590" s="1"/>
    </row>
    <row r="591" ht="15.75" customHeight="1">
      <c r="A591" s="1"/>
      <c r="B591" s="1"/>
      <c r="C591" s="1"/>
      <c r="D591" s="1"/>
      <c r="E591" s="1"/>
    </row>
    <row r="592" ht="15.75" customHeight="1">
      <c r="A592" s="1"/>
      <c r="B592" s="1"/>
      <c r="C592" s="1"/>
      <c r="D592" s="1"/>
      <c r="E592" s="1"/>
    </row>
    <row r="593" ht="15.75" customHeight="1">
      <c r="A593" s="1"/>
      <c r="B593" s="1"/>
      <c r="C593" s="1"/>
      <c r="D593" s="1"/>
      <c r="E593" s="1"/>
    </row>
    <row r="594" ht="15.75" customHeight="1">
      <c r="A594" s="1"/>
      <c r="B594" s="1"/>
      <c r="C594" s="1"/>
      <c r="D594" s="1"/>
      <c r="E594" s="1"/>
    </row>
    <row r="595" ht="15.75" customHeight="1">
      <c r="A595" s="1"/>
      <c r="B595" s="1"/>
      <c r="C595" s="1"/>
      <c r="D595" s="1"/>
      <c r="E595" s="1"/>
    </row>
    <row r="596" ht="15.75" customHeight="1">
      <c r="A596" s="1"/>
      <c r="B596" s="1"/>
      <c r="C596" s="1"/>
      <c r="D596" s="1"/>
      <c r="E596" s="1"/>
    </row>
    <row r="597" ht="15.75" customHeight="1">
      <c r="A597" s="1"/>
      <c r="B597" s="1"/>
      <c r="C597" s="1"/>
      <c r="D597" s="1"/>
      <c r="E597" s="1"/>
    </row>
    <row r="598" ht="15.75" customHeight="1">
      <c r="A598" s="1"/>
      <c r="B598" s="1"/>
      <c r="C598" s="1"/>
      <c r="D598" s="1"/>
      <c r="E598" s="1"/>
    </row>
    <row r="599" ht="15.75" customHeight="1">
      <c r="A599" s="1"/>
      <c r="B599" s="1"/>
      <c r="C599" s="1"/>
      <c r="D599" s="1"/>
      <c r="E599" s="1"/>
    </row>
    <row r="600" ht="15.75" customHeight="1">
      <c r="A600" s="1"/>
      <c r="B600" s="1"/>
      <c r="C600" s="1"/>
      <c r="D600" s="1"/>
      <c r="E600" s="1"/>
    </row>
    <row r="601" ht="15.75" customHeight="1">
      <c r="A601" s="1"/>
      <c r="B601" s="1"/>
      <c r="C601" s="1"/>
      <c r="D601" s="1"/>
      <c r="E601" s="1"/>
    </row>
    <row r="602" ht="15.75" customHeight="1">
      <c r="A602" s="1"/>
      <c r="B602" s="1"/>
      <c r="C602" s="1"/>
      <c r="D602" s="1"/>
      <c r="E602" s="1"/>
    </row>
    <row r="603" ht="15.75" customHeight="1">
      <c r="A603" s="1"/>
      <c r="B603" s="1"/>
      <c r="C603" s="1"/>
      <c r="D603" s="1"/>
      <c r="E603" s="1"/>
    </row>
    <row r="604" ht="15.75" customHeight="1">
      <c r="A604" s="1"/>
      <c r="B604" s="1"/>
      <c r="C604" s="1"/>
      <c r="D604" s="1"/>
      <c r="E604" s="1"/>
    </row>
    <row r="605" ht="15.75" customHeight="1">
      <c r="A605" s="1"/>
      <c r="B605" s="1"/>
      <c r="C605" s="1"/>
      <c r="D605" s="1"/>
      <c r="E605" s="1"/>
    </row>
    <row r="606" ht="15.75" customHeight="1">
      <c r="A606" s="1"/>
      <c r="B606" s="1"/>
      <c r="C606" s="1"/>
      <c r="D606" s="1"/>
      <c r="E606" s="1"/>
    </row>
    <row r="607" ht="15.75" customHeight="1">
      <c r="A607" s="1"/>
      <c r="B607" s="1"/>
      <c r="C607" s="1"/>
      <c r="D607" s="1"/>
      <c r="E607" s="1"/>
    </row>
    <row r="608" ht="15.75" customHeight="1">
      <c r="A608" s="1"/>
      <c r="B608" s="1"/>
      <c r="C608" s="1"/>
      <c r="D608" s="1"/>
      <c r="E608" s="1"/>
    </row>
    <row r="609" ht="15.75" customHeight="1">
      <c r="A609" s="1"/>
      <c r="B609" s="1"/>
      <c r="C609" s="1"/>
      <c r="D609" s="1"/>
      <c r="E609" s="1"/>
    </row>
    <row r="610" ht="15.75" customHeight="1">
      <c r="A610" s="1"/>
      <c r="B610" s="1"/>
      <c r="C610" s="1"/>
      <c r="D610" s="1"/>
      <c r="E610" s="1"/>
    </row>
    <row r="611" ht="15.75" customHeight="1">
      <c r="A611" s="1"/>
      <c r="B611" s="1"/>
      <c r="C611" s="1"/>
      <c r="D611" s="1"/>
      <c r="E611" s="1"/>
    </row>
    <row r="612" ht="15.75" customHeight="1">
      <c r="A612" s="1"/>
      <c r="B612" s="1"/>
      <c r="C612" s="1"/>
      <c r="D612" s="1"/>
      <c r="E612" s="1"/>
    </row>
    <row r="613" ht="15.75" customHeight="1">
      <c r="A613" s="1"/>
      <c r="B613" s="1"/>
      <c r="C613" s="1"/>
      <c r="D613" s="1"/>
      <c r="E613" s="1"/>
    </row>
    <row r="614" ht="15.75" customHeight="1">
      <c r="A614" s="1"/>
      <c r="B614" s="1"/>
      <c r="C614" s="1"/>
      <c r="D614" s="1"/>
      <c r="E614" s="1"/>
    </row>
    <row r="615" ht="15.75" customHeight="1">
      <c r="A615" s="1"/>
      <c r="B615" s="1"/>
      <c r="C615" s="1"/>
      <c r="D615" s="1"/>
      <c r="E615" s="1"/>
    </row>
    <row r="616" ht="15.75" customHeight="1">
      <c r="A616" s="1"/>
      <c r="B616" s="1"/>
      <c r="C616" s="1"/>
      <c r="D616" s="1"/>
      <c r="E616" s="1"/>
    </row>
    <row r="617" ht="15.75" customHeight="1">
      <c r="A617" s="1"/>
      <c r="B617" s="1"/>
      <c r="C617" s="1"/>
      <c r="D617" s="1"/>
      <c r="E617" s="1"/>
    </row>
    <row r="618" ht="15.75" customHeight="1">
      <c r="A618" s="1"/>
      <c r="B618" s="1"/>
      <c r="C618" s="1"/>
      <c r="D618" s="1"/>
      <c r="E618" s="1"/>
    </row>
    <row r="619" ht="15.75" customHeight="1">
      <c r="A619" s="1"/>
      <c r="B619" s="1"/>
      <c r="C619" s="1"/>
      <c r="D619" s="1"/>
      <c r="E619" s="1"/>
    </row>
    <row r="620" ht="15.75" customHeight="1">
      <c r="A620" s="1"/>
      <c r="B620" s="1"/>
      <c r="C620" s="1"/>
      <c r="D620" s="1"/>
      <c r="E620" s="1"/>
    </row>
    <row r="621" ht="15.75" customHeight="1">
      <c r="A621" s="1"/>
      <c r="B621" s="1"/>
      <c r="C621" s="1"/>
      <c r="D621" s="1"/>
      <c r="E621" s="1"/>
    </row>
    <row r="622" ht="15.75" customHeight="1">
      <c r="A622" s="1"/>
      <c r="B622" s="1"/>
      <c r="C622" s="1"/>
      <c r="D622" s="1"/>
      <c r="E622" s="1"/>
    </row>
    <row r="623" ht="15.75" customHeight="1">
      <c r="A623" s="1"/>
      <c r="B623" s="1"/>
      <c r="C623" s="1"/>
      <c r="D623" s="1"/>
      <c r="E623" s="1"/>
    </row>
    <row r="624" ht="15.75" customHeight="1">
      <c r="A624" s="1"/>
      <c r="B624" s="1"/>
      <c r="C624" s="1"/>
      <c r="D624" s="1"/>
      <c r="E624" s="1"/>
    </row>
    <row r="625" ht="15.75" customHeight="1">
      <c r="A625" s="1"/>
      <c r="B625" s="1"/>
      <c r="C625" s="1"/>
      <c r="D625" s="1"/>
      <c r="E625" s="1"/>
    </row>
    <row r="626" ht="15.75" customHeight="1">
      <c r="A626" s="1"/>
      <c r="B626" s="1"/>
      <c r="C626" s="1"/>
      <c r="D626" s="1"/>
      <c r="E626" s="1"/>
    </row>
    <row r="627" ht="15.75" customHeight="1">
      <c r="A627" s="1"/>
      <c r="B627" s="1"/>
      <c r="C627" s="1"/>
      <c r="D627" s="1"/>
      <c r="E627" s="1"/>
    </row>
    <row r="628" ht="15.75" customHeight="1">
      <c r="A628" s="1"/>
      <c r="B628" s="1"/>
      <c r="C628" s="1"/>
      <c r="D628" s="1"/>
      <c r="E628" s="1"/>
    </row>
    <row r="629" ht="15.75" customHeight="1">
      <c r="A629" s="1"/>
      <c r="B629" s="1"/>
      <c r="C629" s="1"/>
      <c r="D629" s="1"/>
      <c r="E629" s="1"/>
    </row>
    <row r="630" ht="15.75" customHeight="1">
      <c r="A630" s="1"/>
      <c r="B630" s="1"/>
      <c r="C630" s="1"/>
      <c r="D630" s="1"/>
      <c r="E630" s="1"/>
    </row>
    <row r="631" ht="15.75" customHeight="1">
      <c r="A631" s="1"/>
      <c r="B631" s="1"/>
      <c r="C631" s="1"/>
      <c r="D631" s="1"/>
      <c r="E631" s="1"/>
    </row>
    <row r="632" ht="15.75" customHeight="1">
      <c r="A632" s="1"/>
      <c r="B632" s="1"/>
      <c r="C632" s="1"/>
      <c r="D632" s="1"/>
      <c r="E632" s="1"/>
    </row>
    <row r="633" ht="15.75" customHeight="1">
      <c r="A633" s="1"/>
      <c r="B633" s="1"/>
      <c r="C633" s="1"/>
      <c r="D633" s="1"/>
      <c r="E633" s="1"/>
    </row>
    <row r="634" ht="15.75" customHeight="1">
      <c r="A634" s="1"/>
      <c r="B634" s="1"/>
      <c r="C634" s="1"/>
      <c r="D634" s="1"/>
      <c r="E634" s="1"/>
    </row>
    <row r="635" ht="15.75" customHeight="1">
      <c r="A635" s="1"/>
      <c r="B635" s="1"/>
      <c r="C635" s="1"/>
      <c r="D635" s="1"/>
      <c r="E635" s="1"/>
    </row>
    <row r="636" ht="15.75" customHeight="1">
      <c r="A636" s="1"/>
      <c r="B636" s="1"/>
      <c r="C636" s="1"/>
      <c r="D636" s="1"/>
      <c r="E636" s="1"/>
    </row>
    <row r="637" ht="15.75" customHeight="1">
      <c r="A637" s="1"/>
      <c r="B637" s="1"/>
      <c r="C637" s="1"/>
      <c r="D637" s="1"/>
      <c r="E637" s="1"/>
    </row>
    <row r="638" ht="15.75" customHeight="1">
      <c r="A638" s="1"/>
      <c r="B638" s="1"/>
      <c r="C638" s="1"/>
      <c r="D638" s="1"/>
      <c r="E638" s="1"/>
    </row>
    <row r="639" ht="15.75" customHeight="1">
      <c r="A639" s="1"/>
      <c r="B639" s="1"/>
      <c r="C639" s="1"/>
      <c r="D639" s="1"/>
      <c r="E639" s="1"/>
    </row>
    <row r="640" ht="15.75" customHeight="1">
      <c r="A640" s="1"/>
      <c r="B640" s="1"/>
      <c r="C640" s="1"/>
      <c r="D640" s="1"/>
      <c r="E640" s="1"/>
    </row>
    <row r="641" ht="15.75" customHeight="1">
      <c r="A641" s="1"/>
      <c r="B641" s="1"/>
      <c r="C641" s="1"/>
      <c r="D641" s="1"/>
      <c r="E641" s="1"/>
    </row>
    <row r="642" ht="15.75" customHeight="1">
      <c r="A642" s="1"/>
      <c r="B642" s="1"/>
      <c r="C642" s="1"/>
      <c r="D642" s="1"/>
      <c r="E642" s="1"/>
    </row>
    <row r="643" ht="15.75" customHeight="1">
      <c r="A643" s="1"/>
      <c r="B643" s="1"/>
      <c r="C643" s="1"/>
      <c r="D643" s="1"/>
      <c r="E643" s="1"/>
    </row>
    <row r="644" ht="15.75" customHeight="1">
      <c r="A644" s="1"/>
      <c r="B644" s="1"/>
      <c r="C644" s="1"/>
      <c r="D644" s="1"/>
      <c r="E644" s="1"/>
    </row>
    <row r="645" ht="15.75" customHeight="1">
      <c r="A645" s="1"/>
      <c r="B645" s="1"/>
      <c r="C645" s="1"/>
      <c r="D645" s="1"/>
      <c r="E645" s="1"/>
    </row>
    <row r="646" ht="15.75" customHeight="1">
      <c r="A646" s="1"/>
      <c r="B646" s="1"/>
      <c r="C646" s="1"/>
      <c r="D646" s="1"/>
      <c r="E646" s="1"/>
    </row>
    <row r="647" ht="15.75" customHeight="1">
      <c r="A647" s="1"/>
      <c r="B647" s="1"/>
      <c r="C647" s="1"/>
      <c r="D647" s="1"/>
      <c r="E647" s="1"/>
    </row>
    <row r="648" ht="15.75" customHeight="1">
      <c r="A648" s="1"/>
      <c r="B648" s="1"/>
      <c r="C648" s="1"/>
      <c r="D648" s="1"/>
      <c r="E648" s="1"/>
    </row>
    <row r="649" ht="15.75" customHeight="1">
      <c r="A649" s="1"/>
      <c r="B649" s="1"/>
      <c r="C649" s="1"/>
      <c r="D649" s="1"/>
      <c r="E649" s="1"/>
    </row>
    <row r="650" ht="15.75" customHeight="1">
      <c r="A650" s="1"/>
      <c r="B650" s="1"/>
      <c r="C650" s="1"/>
      <c r="D650" s="1"/>
      <c r="E650" s="1"/>
    </row>
    <row r="651" ht="15.75" customHeight="1">
      <c r="A651" s="1"/>
      <c r="B651" s="1"/>
      <c r="C651" s="1"/>
      <c r="D651" s="1"/>
      <c r="E651" s="1"/>
    </row>
    <row r="652" ht="15.75" customHeight="1">
      <c r="A652" s="1"/>
      <c r="B652" s="1"/>
      <c r="C652" s="1"/>
      <c r="D652" s="1"/>
      <c r="E652" s="1"/>
    </row>
    <row r="653" ht="15.75" customHeight="1">
      <c r="A653" s="1"/>
      <c r="B653" s="1"/>
      <c r="C653" s="1"/>
      <c r="D653" s="1"/>
      <c r="E653" s="1"/>
    </row>
    <row r="654" ht="15.75" customHeight="1">
      <c r="A654" s="1"/>
      <c r="B654" s="1"/>
      <c r="C654" s="1"/>
      <c r="D654" s="1"/>
      <c r="E654" s="1"/>
    </row>
    <row r="655" ht="15.75" customHeight="1">
      <c r="A655" s="1"/>
      <c r="B655" s="1"/>
      <c r="C655" s="1"/>
      <c r="D655" s="1"/>
      <c r="E655" s="1"/>
    </row>
    <row r="656" ht="15.75" customHeight="1">
      <c r="A656" s="1"/>
      <c r="B656" s="1"/>
      <c r="C656" s="1"/>
      <c r="D656" s="1"/>
      <c r="E656" s="1"/>
    </row>
    <row r="657" ht="15.75" customHeight="1">
      <c r="A657" s="1"/>
      <c r="B657" s="1"/>
      <c r="C657" s="1"/>
      <c r="D657" s="1"/>
      <c r="E657" s="1"/>
    </row>
    <row r="658" ht="15.75" customHeight="1">
      <c r="A658" s="1"/>
      <c r="B658" s="1"/>
      <c r="C658" s="1"/>
      <c r="D658" s="1"/>
      <c r="E658" s="1"/>
    </row>
    <row r="659" ht="15.75" customHeight="1">
      <c r="A659" s="1"/>
      <c r="B659" s="1"/>
      <c r="C659" s="1"/>
      <c r="D659" s="1"/>
      <c r="E659" s="1"/>
    </row>
    <row r="660" ht="15.75" customHeight="1">
      <c r="A660" s="1"/>
      <c r="B660" s="1"/>
      <c r="C660" s="1"/>
      <c r="D660" s="1"/>
      <c r="E660" s="1"/>
    </row>
    <row r="661" ht="15.75" customHeight="1">
      <c r="A661" s="1"/>
      <c r="B661" s="1"/>
      <c r="C661" s="1"/>
      <c r="D661" s="1"/>
      <c r="E661" s="1"/>
    </row>
    <row r="662" ht="15.75" customHeight="1">
      <c r="A662" s="1"/>
      <c r="B662" s="1"/>
      <c r="C662" s="1"/>
      <c r="D662" s="1"/>
      <c r="E662" s="1"/>
    </row>
    <row r="663" ht="15.75" customHeight="1">
      <c r="A663" s="1"/>
      <c r="B663" s="1"/>
      <c r="C663" s="1"/>
      <c r="D663" s="1"/>
      <c r="E663" s="1"/>
    </row>
    <row r="664" ht="15.75" customHeight="1">
      <c r="A664" s="1"/>
      <c r="B664" s="1"/>
      <c r="C664" s="1"/>
      <c r="D664" s="1"/>
      <c r="E664" s="1"/>
    </row>
    <row r="665" ht="15.75" customHeight="1">
      <c r="A665" s="1"/>
      <c r="B665" s="1"/>
      <c r="C665" s="1"/>
      <c r="D665" s="1"/>
      <c r="E665" s="1"/>
    </row>
    <row r="666" ht="15.75" customHeight="1">
      <c r="A666" s="1"/>
      <c r="B666" s="1"/>
      <c r="C666" s="1"/>
      <c r="D666" s="1"/>
      <c r="E666" s="1"/>
    </row>
    <row r="667" ht="15.75" customHeight="1">
      <c r="A667" s="1"/>
      <c r="B667" s="1"/>
      <c r="C667" s="1"/>
      <c r="D667" s="1"/>
      <c r="E667" s="1"/>
    </row>
    <row r="668" ht="15.75" customHeight="1">
      <c r="A668" s="1"/>
      <c r="B668" s="1"/>
      <c r="C668" s="1"/>
      <c r="D668" s="1"/>
      <c r="E668" s="1"/>
    </row>
    <row r="669" ht="15.75" customHeight="1">
      <c r="A669" s="1"/>
      <c r="B669" s="1"/>
      <c r="C669" s="1"/>
      <c r="D669" s="1"/>
      <c r="E669" s="1"/>
    </row>
    <row r="670" ht="15.75" customHeight="1">
      <c r="A670" s="1"/>
      <c r="B670" s="1"/>
      <c r="C670" s="1"/>
      <c r="D670" s="1"/>
      <c r="E670" s="1"/>
    </row>
    <row r="671" ht="15.75" customHeight="1">
      <c r="A671" s="1"/>
      <c r="B671" s="1"/>
      <c r="C671" s="1"/>
      <c r="D671" s="1"/>
      <c r="E671" s="1"/>
    </row>
    <row r="672" ht="15.75" customHeight="1">
      <c r="A672" s="1"/>
      <c r="B672" s="1"/>
      <c r="C672" s="1"/>
      <c r="D672" s="1"/>
      <c r="E672" s="1"/>
    </row>
    <row r="673" ht="15.75" customHeight="1">
      <c r="A673" s="1"/>
      <c r="B673" s="1"/>
      <c r="C673" s="1"/>
      <c r="D673" s="1"/>
      <c r="E673" s="1"/>
    </row>
    <row r="674" ht="15.75" customHeight="1">
      <c r="A674" s="1"/>
      <c r="B674" s="1"/>
      <c r="C674" s="1"/>
      <c r="D674" s="1"/>
      <c r="E674" s="1"/>
    </row>
    <row r="675" ht="15.75" customHeight="1">
      <c r="A675" s="1"/>
      <c r="B675" s="1"/>
      <c r="C675" s="1"/>
      <c r="D675" s="1"/>
      <c r="E675" s="1"/>
    </row>
    <row r="676" ht="15.75" customHeight="1">
      <c r="A676" s="1"/>
      <c r="B676" s="1"/>
      <c r="C676" s="1"/>
      <c r="D676" s="1"/>
      <c r="E676" s="1"/>
    </row>
    <row r="677" ht="15.75" customHeight="1">
      <c r="A677" s="1"/>
      <c r="B677" s="1"/>
      <c r="C677" s="1"/>
      <c r="D677" s="1"/>
      <c r="E677" s="1"/>
    </row>
    <row r="678" ht="15.75" customHeight="1">
      <c r="A678" s="1"/>
      <c r="B678" s="1"/>
      <c r="C678" s="1"/>
      <c r="D678" s="1"/>
      <c r="E678" s="1"/>
    </row>
    <row r="679" ht="15.75" customHeight="1">
      <c r="A679" s="1"/>
      <c r="B679" s="1"/>
      <c r="C679" s="1"/>
      <c r="D679" s="1"/>
      <c r="E679" s="1"/>
    </row>
    <row r="680" ht="15.75" customHeight="1">
      <c r="A680" s="1"/>
      <c r="B680" s="1"/>
      <c r="C680" s="1"/>
      <c r="D680" s="1"/>
      <c r="E680" s="1"/>
    </row>
    <row r="681" ht="15.75" customHeight="1">
      <c r="A681" s="1"/>
      <c r="B681" s="1"/>
      <c r="C681" s="1"/>
      <c r="D681" s="1"/>
      <c r="E681" s="1"/>
    </row>
    <row r="682" ht="15.75" customHeight="1">
      <c r="A682" s="1"/>
      <c r="B682" s="1"/>
      <c r="C682" s="1"/>
      <c r="D682" s="1"/>
      <c r="E682" s="1"/>
    </row>
    <row r="683" ht="15.75" customHeight="1">
      <c r="A683" s="1"/>
      <c r="B683" s="1"/>
      <c r="C683" s="1"/>
      <c r="D683" s="1"/>
      <c r="E683" s="1"/>
    </row>
    <row r="684" ht="15.75" customHeight="1">
      <c r="A684" s="1"/>
      <c r="B684" s="1"/>
      <c r="C684" s="1"/>
      <c r="D684" s="1"/>
      <c r="E684" s="1"/>
    </row>
    <row r="685" ht="15.75" customHeight="1">
      <c r="A685" s="1"/>
      <c r="B685" s="1"/>
      <c r="C685" s="1"/>
      <c r="D685" s="1"/>
      <c r="E685" s="1"/>
    </row>
    <row r="686" ht="15.75" customHeight="1">
      <c r="A686" s="1"/>
      <c r="B686" s="1"/>
      <c r="C686" s="1"/>
      <c r="D686" s="1"/>
      <c r="E686" s="1"/>
    </row>
    <row r="687" ht="15.75" customHeight="1">
      <c r="A687" s="1"/>
      <c r="B687" s="1"/>
      <c r="C687" s="1"/>
      <c r="D687" s="1"/>
      <c r="E687" s="1"/>
    </row>
    <row r="688" ht="15.75" customHeight="1">
      <c r="A688" s="1"/>
      <c r="B688" s="1"/>
      <c r="C688" s="1"/>
      <c r="D688" s="1"/>
      <c r="E688" s="1"/>
    </row>
    <row r="689" ht="15.75" customHeight="1">
      <c r="A689" s="1"/>
      <c r="B689" s="1"/>
      <c r="C689" s="1"/>
      <c r="D689" s="1"/>
      <c r="E689" s="1"/>
    </row>
    <row r="690" ht="15.75" customHeight="1">
      <c r="A690" s="1"/>
      <c r="B690" s="1"/>
      <c r="C690" s="1"/>
      <c r="D690" s="1"/>
      <c r="E690" s="1"/>
    </row>
    <row r="691" ht="15.75" customHeight="1">
      <c r="A691" s="1"/>
      <c r="B691" s="1"/>
      <c r="C691" s="1"/>
      <c r="D691" s="1"/>
      <c r="E691" s="1"/>
    </row>
    <row r="692" ht="15.75" customHeight="1">
      <c r="A692" s="1"/>
      <c r="B692" s="1"/>
      <c r="C692" s="1"/>
      <c r="D692" s="1"/>
      <c r="E692" s="1"/>
    </row>
    <row r="693" ht="15.75" customHeight="1">
      <c r="A693" s="1"/>
      <c r="B693" s="1"/>
      <c r="C693" s="1"/>
      <c r="D693" s="1"/>
      <c r="E693" s="1"/>
    </row>
    <row r="694" ht="15.75" customHeight="1">
      <c r="A694" s="1"/>
      <c r="B694" s="1"/>
      <c r="C694" s="1"/>
      <c r="D694" s="1"/>
      <c r="E694" s="1"/>
    </row>
    <row r="695" ht="15.75" customHeight="1">
      <c r="A695" s="1"/>
      <c r="B695" s="1"/>
      <c r="C695" s="1"/>
      <c r="D695" s="1"/>
      <c r="E695" s="1"/>
    </row>
    <row r="696" ht="15.75" customHeight="1">
      <c r="A696" s="1"/>
      <c r="B696" s="1"/>
      <c r="C696" s="1"/>
      <c r="D696" s="1"/>
      <c r="E696" s="1"/>
    </row>
    <row r="697" ht="15.75" customHeight="1">
      <c r="A697" s="1"/>
      <c r="B697" s="1"/>
      <c r="C697" s="1"/>
      <c r="D697" s="1"/>
      <c r="E697" s="1"/>
    </row>
    <row r="698" ht="15.75" customHeight="1">
      <c r="A698" s="1"/>
      <c r="B698" s="1"/>
      <c r="C698" s="1"/>
      <c r="D698" s="1"/>
      <c r="E698" s="1"/>
    </row>
    <row r="699" ht="15.75" customHeight="1">
      <c r="A699" s="1"/>
      <c r="B699" s="1"/>
      <c r="C699" s="1"/>
      <c r="D699" s="1"/>
      <c r="E699" s="1"/>
    </row>
    <row r="700" ht="15.75" customHeight="1">
      <c r="A700" s="1"/>
      <c r="B700" s="1"/>
      <c r="C700" s="1"/>
      <c r="D700" s="1"/>
      <c r="E700" s="1"/>
    </row>
    <row r="701" ht="15.75" customHeight="1">
      <c r="A701" s="1"/>
      <c r="B701" s="1"/>
      <c r="C701" s="1"/>
      <c r="D701" s="1"/>
      <c r="E701" s="1"/>
    </row>
    <row r="702" ht="15.75" customHeight="1">
      <c r="A702" s="1"/>
      <c r="B702" s="1"/>
      <c r="C702" s="1"/>
      <c r="D702" s="1"/>
      <c r="E702" s="1"/>
    </row>
    <row r="703" ht="15.75" customHeight="1">
      <c r="A703" s="1"/>
      <c r="B703" s="1"/>
      <c r="C703" s="1"/>
      <c r="D703" s="1"/>
      <c r="E703" s="1"/>
    </row>
    <row r="704" ht="15.75" customHeight="1">
      <c r="A704" s="1"/>
      <c r="B704" s="1"/>
      <c r="C704" s="1"/>
      <c r="D704" s="1"/>
      <c r="E704" s="1"/>
    </row>
    <row r="705" ht="15.75" customHeight="1">
      <c r="A705" s="1"/>
      <c r="B705" s="1"/>
      <c r="C705" s="1"/>
      <c r="D705" s="1"/>
      <c r="E705" s="1"/>
    </row>
    <row r="706" ht="15.75" customHeight="1">
      <c r="A706" s="1"/>
      <c r="B706" s="1"/>
      <c r="C706" s="1"/>
      <c r="D706" s="1"/>
      <c r="E706" s="1"/>
    </row>
    <row r="707" ht="15.75" customHeight="1">
      <c r="A707" s="1"/>
      <c r="B707" s="1"/>
      <c r="C707" s="1"/>
      <c r="D707" s="1"/>
      <c r="E707" s="1"/>
    </row>
    <row r="708" ht="15.75" customHeight="1">
      <c r="A708" s="1"/>
      <c r="B708" s="1"/>
      <c r="C708" s="1"/>
      <c r="D708" s="1"/>
      <c r="E708" s="1"/>
    </row>
    <row r="709" ht="15.75" customHeight="1">
      <c r="A709" s="1"/>
      <c r="B709" s="1"/>
      <c r="C709" s="1"/>
      <c r="D709" s="1"/>
      <c r="E709" s="1"/>
    </row>
    <row r="710" ht="15.75" customHeight="1">
      <c r="A710" s="1"/>
      <c r="B710" s="1"/>
      <c r="C710" s="1"/>
      <c r="D710" s="1"/>
      <c r="E710" s="1"/>
    </row>
    <row r="711" ht="15.75" customHeight="1">
      <c r="A711" s="1"/>
      <c r="B711" s="1"/>
      <c r="C711" s="1"/>
      <c r="D711" s="1"/>
      <c r="E711" s="1"/>
    </row>
    <row r="712" ht="15.75" customHeight="1">
      <c r="A712" s="1"/>
      <c r="B712" s="1"/>
      <c r="C712" s="1"/>
      <c r="D712" s="1"/>
      <c r="E712" s="1"/>
    </row>
    <row r="713" ht="15.75" customHeight="1">
      <c r="A713" s="1"/>
      <c r="B713" s="1"/>
      <c r="C713" s="1"/>
      <c r="D713" s="1"/>
      <c r="E713" s="1"/>
    </row>
    <row r="714" ht="15.75" customHeight="1">
      <c r="A714" s="1"/>
      <c r="B714" s="1"/>
      <c r="C714" s="1"/>
      <c r="D714" s="1"/>
      <c r="E714" s="1"/>
    </row>
    <row r="715" ht="15.75" customHeight="1">
      <c r="A715" s="1"/>
      <c r="B715" s="1"/>
      <c r="C715" s="1"/>
      <c r="D715" s="1"/>
      <c r="E715" s="1"/>
    </row>
    <row r="716" ht="15.75" customHeight="1">
      <c r="A716" s="1"/>
      <c r="B716" s="1"/>
      <c r="C716" s="1"/>
      <c r="D716" s="1"/>
      <c r="E716" s="1"/>
    </row>
    <row r="717" ht="15.75" customHeight="1">
      <c r="A717" s="1"/>
      <c r="B717" s="1"/>
      <c r="C717" s="1"/>
      <c r="D717" s="1"/>
      <c r="E717" s="1"/>
    </row>
    <row r="718" ht="15.75" customHeight="1">
      <c r="A718" s="1"/>
      <c r="B718" s="1"/>
      <c r="C718" s="1"/>
      <c r="D718" s="1"/>
      <c r="E718" s="1"/>
    </row>
    <row r="719" ht="15.75" customHeight="1">
      <c r="A719" s="1"/>
      <c r="B719" s="1"/>
      <c r="C719" s="1"/>
      <c r="D719" s="1"/>
      <c r="E719" s="1"/>
    </row>
    <row r="720" ht="15.75" customHeight="1">
      <c r="A720" s="1"/>
      <c r="B720" s="1"/>
      <c r="C720" s="1"/>
      <c r="D720" s="1"/>
      <c r="E720" s="1"/>
    </row>
    <row r="721" ht="15.75" customHeight="1">
      <c r="A721" s="1"/>
      <c r="B721" s="1"/>
      <c r="C721" s="1"/>
      <c r="D721" s="1"/>
      <c r="E721" s="1"/>
    </row>
    <row r="722" ht="15.75" customHeight="1">
      <c r="A722" s="1"/>
      <c r="B722" s="1"/>
      <c r="C722" s="1"/>
      <c r="D722" s="1"/>
      <c r="E722" s="1"/>
    </row>
    <row r="723" ht="15.75" customHeight="1">
      <c r="A723" s="1"/>
      <c r="B723" s="1"/>
      <c r="C723" s="1"/>
      <c r="D723" s="1"/>
      <c r="E723" s="1"/>
    </row>
    <row r="724" ht="15.75" customHeight="1">
      <c r="A724" s="1"/>
      <c r="B724" s="1"/>
      <c r="C724" s="1"/>
      <c r="D724" s="1"/>
      <c r="E724" s="1"/>
    </row>
    <row r="725" ht="15.75" customHeight="1">
      <c r="A725" s="1"/>
      <c r="B725" s="1"/>
      <c r="C725" s="1"/>
      <c r="D725" s="1"/>
      <c r="E725" s="1"/>
    </row>
    <row r="726" ht="15.75" customHeight="1">
      <c r="A726" s="1"/>
      <c r="B726" s="1"/>
      <c r="C726" s="1"/>
      <c r="D726" s="1"/>
      <c r="E726" s="1"/>
    </row>
    <row r="727" ht="15.75" customHeight="1">
      <c r="A727" s="1"/>
      <c r="B727" s="1"/>
      <c r="C727" s="1"/>
      <c r="D727" s="1"/>
      <c r="E727" s="1"/>
    </row>
    <row r="728" ht="15.75" customHeight="1">
      <c r="A728" s="1"/>
      <c r="B728" s="1"/>
      <c r="C728" s="1"/>
      <c r="D728" s="1"/>
      <c r="E728" s="1"/>
    </row>
    <row r="729" ht="15.75" customHeight="1">
      <c r="A729" s="1"/>
      <c r="B729" s="1"/>
      <c r="C729" s="1"/>
      <c r="D729" s="1"/>
      <c r="E729" s="1"/>
    </row>
    <row r="730" ht="15.75" customHeight="1">
      <c r="A730" s="1"/>
      <c r="B730" s="1"/>
      <c r="C730" s="1"/>
      <c r="D730" s="1"/>
      <c r="E730" s="1"/>
    </row>
    <row r="731" ht="15.75" customHeight="1">
      <c r="A731" s="1"/>
      <c r="B731" s="1"/>
      <c r="C731" s="1"/>
      <c r="D731" s="1"/>
      <c r="E731" s="1"/>
    </row>
    <row r="732" ht="15.75" customHeight="1">
      <c r="A732" s="1"/>
      <c r="B732" s="1"/>
      <c r="C732" s="1"/>
      <c r="D732" s="1"/>
      <c r="E732" s="1"/>
    </row>
    <row r="733" ht="15.75" customHeight="1">
      <c r="A733" s="1"/>
      <c r="B733" s="1"/>
      <c r="C733" s="1"/>
      <c r="D733" s="1"/>
      <c r="E733" s="1"/>
    </row>
    <row r="734" ht="15.75" customHeight="1">
      <c r="A734" s="1"/>
      <c r="B734" s="1"/>
      <c r="C734" s="1"/>
      <c r="D734" s="1"/>
      <c r="E734" s="1"/>
    </row>
    <row r="735" ht="15.75" customHeight="1">
      <c r="A735" s="1"/>
      <c r="B735" s="1"/>
      <c r="C735" s="1"/>
      <c r="D735" s="1"/>
      <c r="E735" s="1"/>
    </row>
    <row r="736" ht="15.75" customHeight="1">
      <c r="A736" s="1"/>
      <c r="B736" s="1"/>
      <c r="C736" s="1"/>
      <c r="D736" s="1"/>
      <c r="E736" s="1"/>
    </row>
    <row r="737" ht="15.75" customHeight="1">
      <c r="A737" s="1"/>
      <c r="B737" s="1"/>
      <c r="C737" s="1"/>
      <c r="D737" s="1"/>
      <c r="E737" s="1"/>
    </row>
    <row r="738" ht="15.75" customHeight="1">
      <c r="A738" s="1"/>
      <c r="B738" s="1"/>
      <c r="C738" s="1"/>
      <c r="D738" s="1"/>
      <c r="E738" s="1"/>
    </row>
    <row r="739" ht="15.75" customHeight="1">
      <c r="A739" s="1"/>
      <c r="B739" s="1"/>
      <c r="C739" s="1"/>
      <c r="D739" s="1"/>
      <c r="E739" s="1"/>
    </row>
    <row r="740" ht="15.75" customHeight="1">
      <c r="A740" s="1"/>
      <c r="B740" s="1"/>
      <c r="C740" s="1"/>
      <c r="D740" s="1"/>
      <c r="E740" s="1"/>
    </row>
    <row r="741" ht="15.75" customHeight="1">
      <c r="A741" s="1"/>
      <c r="B741" s="1"/>
      <c r="C741" s="1"/>
      <c r="D741" s="1"/>
      <c r="E741" s="1"/>
    </row>
    <row r="742" ht="15.75" customHeight="1">
      <c r="A742" s="1"/>
      <c r="B742" s="1"/>
      <c r="C742" s="1"/>
      <c r="D742" s="1"/>
      <c r="E742" s="1"/>
    </row>
    <row r="743" ht="15.75" customHeight="1">
      <c r="A743" s="1"/>
      <c r="B743" s="1"/>
      <c r="C743" s="1"/>
      <c r="D743" s="1"/>
      <c r="E743" s="1"/>
    </row>
    <row r="744" ht="15.75" customHeight="1">
      <c r="A744" s="1"/>
      <c r="B744" s="1"/>
      <c r="C744" s="1"/>
      <c r="D744" s="1"/>
      <c r="E744" s="1"/>
    </row>
    <row r="745" ht="15.75" customHeight="1">
      <c r="A745" s="1"/>
      <c r="B745" s="1"/>
      <c r="C745" s="1"/>
      <c r="D745" s="1"/>
      <c r="E745" s="1"/>
    </row>
    <row r="746" ht="15.75" customHeight="1">
      <c r="A746" s="1"/>
      <c r="B746" s="1"/>
      <c r="C746" s="1"/>
      <c r="D746" s="1"/>
      <c r="E746" s="1"/>
    </row>
    <row r="747" ht="15.75" customHeight="1">
      <c r="A747" s="1"/>
      <c r="B747" s="1"/>
      <c r="C747" s="1"/>
      <c r="D747" s="1"/>
      <c r="E747" s="1"/>
    </row>
    <row r="748" ht="15.75" customHeight="1">
      <c r="A748" s="1"/>
      <c r="B748" s="1"/>
      <c r="C748" s="1"/>
      <c r="D748" s="1"/>
      <c r="E748" s="1"/>
    </row>
    <row r="749" ht="15.75" customHeight="1">
      <c r="A749" s="1"/>
      <c r="B749" s="1"/>
      <c r="C749" s="1"/>
      <c r="D749" s="1"/>
      <c r="E749" s="1"/>
    </row>
    <row r="750" ht="15.75" customHeight="1">
      <c r="A750" s="1"/>
      <c r="B750" s="1"/>
      <c r="C750" s="1"/>
      <c r="D750" s="1"/>
      <c r="E750" s="1"/>
    </row>
    <row r="751" ht="15.75" customHeight="1">
      <c r="A751" s="1"/>
      <c r="B751" s="1"/>
      <c r="C751" s="1"/>
      <c r="D751" s="1"/>
      <c r="E751" s="1"/>
    </row>
    <row r="752" ht="15.75" customHeight="1">
      <c r="A752" s="1"/>
      <c r="B752" s="1"/>
      <c r="C752" s="1"/>
      <c r="D752" s="1"/>
      <c r="E752" s="1"/>
    </row>
    <row r="753" ht="15.75" customHeight="1">
      <c r="A753" s="1"/>
      <c r="B753" s="1"/>
      <c r="C753" s="1"/>
      <c r="D753" s="1"/>
      <c r="E753" s="1"/>
    </row>
    <row r="754" ht="15.75" customHeight="1">
      <c r="A754" s="1"/>
      <c r="B754" s="1"/>
      <c r="C754" s="1"/>
      <c r="D754" s="1"/>
      <c r="E754" s="1"/>
    </row>
    <row r="755" ht="15.75" customHeight="1">
      <c r="A755" s="1"/>
      <c r="B755" s="1"/>
      <c r="C755" s="1"/>
      <c r="D755" s="1"/>
      <c r="E755" s="1"/>
    </row>
    <row r="756" ht="15.75" customHeight="1">
      <c r="A756" s="1"/>
      <c r="B756" s="1"/>
      <c r="C756" s="1"/>
      <c r="D756" s="1"/>
      <c r="E756" s="1"/>
    </row>
    <row r="757" ht="15.75" customHeight="1">
      <c r="A757" s="1"/>
      <c r="B757" s="1"/>
      <c r="C757" s="1"/>
      <c r="D757" s="1"/>
      <c r="E757" s="1"/>
    </row>
    <row r="758" ht="15.75" customHeight="1">
      <c r="A758" s="1"/>
      <c r="B758" s="1"/>
      <c r="C758" s="1"/>
      <c r="D758" s="1"/>
      <c r="E758" s="1"/>
    </row>
    <row r="759" ht="15.75" customHeight="1">
      <c r="A759" s="1"/>
      <c r="B759" s="1"/>
      <c r="C759" s="1"/>
      <c r="D759" s="1"/>
      <c r="E759" s="1"/>
    </row>
    <row r="760" ht="15.75" customHeight="1">
      <c r="A760" s="1"/>
      <c r="B760" s="1"/>
      <c r="C760" s="1"/>
      <c r="D760" s="1"/>
      <c r="E760" s="1"/>
    </row>
    <row r="761" ht="15.75" customHeight="1">
      <c r="A761" s="1"/>
      <c r="B761" s="1"/>
      <c r="C761" s="1"/>
      <c r="D761" s="1"/>
      <c r="E761" s="1"/>
    </row>
    <row r="762" ht="15.75" customHeight="1">
      <c r="A762" s="1"/>
      <c r="B762" s="1"/>
      <c r="C762" s="1"/>
      <c r="D762" s="1"/>
      <c r="E762" s="1"/>
    </row>
    <row r="763" ht="15.75" customHeight="1">
      <c r="A763" s="1"/>
      <c r="B763" s="1"/>
      <c r="C763" s="1"/>
      <c r="D763" s="1"/>
      <c r="E763" s="1"/>
    </row>
    <row r="764" ht="15.75" customHeight="1">
      <c r="A764" s="1"/>
      <c r="B764" s="1"/>
      <c r="C764" s="1"/>
      <c r="D764" s="1"/>
      <c r="E764" s="1"/>
    </row>
    <row r="765" ht="15.75" customHeight="1">
      <c r="A765" s="1"/>
      <c r="B765" s="1"/>
      <c r="C765" s="1"/>
      <c r="D765" s="1"/>
      <c r="E765" s="1"/>
    </row>
    <row r="766" ht="15.75" customHeight="1">
      <c r="A766" s="1"/>
      <c r="B766" s="1"/>
      <c r="C766" s="1"/>
      <c r="D766" s="1"/>
      <c r="E766" s="1"/>
    </row>
    <row r="767" ht="15.75" customHeight="1">
      <c r="A767" s="1"/>
      <c r="B767" s="1"/>
      <c r="C767" s="1"/>
      <c r="D767" s="1"/>
      <c r="E767" s="1"/>
    </row>
    <row r="768" ht="15.75" customHeight="1">
      <c r="A768" s="1"/>
      <c r="B768" s="1"/>
      <c r="C768" s="1"/>
      <c r="D768" s="1"/>
      <c r="E768" s="1"/>
    </row>
    <row r="769" ht="15.75" customHeight="1">
      <c r="A769" s="1"/>
      <c r="B769" s="1"/>
      <c r="C769" s="1"/>
      <c r="D769" s="1"/>
      <c r="E769" s="1"/>
    </row>
    <row r="770" ht="15.75" customHeight="1">
      <c r="A770" s="1"/>
      <c r="B770" s="1"/>
      <c r="C770" s="1"/>
      <c r="D770" s="1"/>
      <c r="E770" s="1"/>
    </row>
    <row r="771" ht="15.75" customHeight="1">
      <c r="A771" s="1"/>
      <c r="B771" s="1"/>
      <c r="C771" s="1"/>
      <c r="D771" s="1"/>
      <c r="E771" s="1"/>
    </row>
    <row r="772" ht="15.75" customHeight="1">
      <c r="A772" s="1"/>
      <c r="B772" s="1"/>
      <c r="C772" s="1"/>
      <c r="D772" s="1"/>
      <c r="E772" s="1"/>
    </row>
    <row r="773" ht="15.75" customHeight="1">
      <c r="A773" s="1"/>
      <c r="B773" s="1"/>
      <c r="C773" s="1"/>
      <c r="D773" s="1"/>
      <c r="E773" s="1"/>
    </row>
    <row r="774" ht="15.75" customHeight="1">
      <c r="A774" s="1"/>
      <c r="B774" s="1"/>
      <c r="C774" s="1"/>
      <c r="D774" s="1"/>
      <c r="E774" s="1"/>
    </row>
    <row r="775" ht="15.75" customHeight="1">
      <c r="A775" s="1"/>
      <c r="B775" s="1"/>
      <c r="C775" s="1"/>
      <c r="D775" s="1"/>
      <c r="E775" s="1"/>
    </row>
    <row r="776" ht="15.75" customHeight="1">
      <c r="A776" s="1"/>
      <c r="B776" s="1"/>
      <c r="C776" s="1"/>
      <c r="D776" s="1"/>
      <c r="E776" s="1"/>
    </row>
    <row r="777" ht="15.75" customHeight="1">
      <c r="A777" s="1"/>
      <c r="B777" s="1"/>
      <c r="C777" s="1"/>
      <c r="D777" s="1"/>
      <c r="E777" s="1"/>
    </row>
    <row r="778" ht="15.75" customHeight="1">
      <c r="A778" s="1"/>
      <c r="B778" s="1"/>
      <c r="C778" s="1"/>
      <c r="D778" s="1"/>
      <c r="E778" s="1"/>
    </row>
    <row r="779" ht="15.75" customHeight="1">
      <c r="A779" s="1"/>
      <c r="B779" s="1"/>
      <c r="C779" s="1"/>
      <c r="D779" s="1"/>
      <c r="E779" s="1"/>
    </row>
    <row r="780" ht="15.75" customHeight="1">
      <c r="A780" s="1"/>
      <c r="B780" s="1"/>
      <c r="C780" s="1"/>
      <c r="D780" s="1"/>
      <c r="E780" s="1"/>
    </row>
    <row r="781" ht="15.75" customHeight="1">
      <c r="A781" s="1"/>
      <c r="B781" s="1"/>
      <c r="C781" s="1"/>
      <c r="D781" s="1"/>
      <c r="E781" s="1"/>
    </row>
    <row r="782" ht="15.75" customHeight="1">
      <c r="A782" s="1"/>
      <c r="B782" s="1"/>
      <c r="C782" s="1"/>
      <c r="D782" s="1"/>
      <c r="E782" s="1"/>
    </row>
    <row r="783" ht="15.75" customHeight="1">
      <c r="A783" s="1"/>
      <c r="B783" s="1"/>
      <c r="C783" s="1"/>
      <c r="D783" s="1"/>
      <c r="E783" s="1"/>
    </row>
    <row r="784" ht="15.75" customHeight="1">
      <c r="A784" s="1"/>
      <c r="B784" s="1"/>
      <c r="C784" s="1"/>
      <c r="D784" s="1"/>
      <c r="E784" s="1"/>
    </row>
    <row r="785" ht="15.75" customHeight="1">
      <c r="A785" s="1"/>
      <c r="B785" s="1"/>
      <c r="C785" s="1"/>
      <c r="D785" s="1"/>
      <c r="E785" s="1"/>
    </row>
    <row r="786" ht="15.75" customHeight="1">
      <c r="A786" s="1"/>
      <c r="B786" s="1"/>
      <c r="C786" s="1"/>
      <c r="D786" s="1"/>
      <c r="E786" s="1"/>
    </row>
    <row r="787" ht="15.75" customHeight="1">
      <c r="A787" s="1"/>
      <c r="B787" s="1"/>
      <c r="C787" s="1"/>
      <c r="D787" s="1"/>
      <c r="E787" s="1"/>
    </row>
    <row r="788" ht="15.75" customHeight="1">
      <c r="A788" s="1"/>
      <c r="B788" s="1"/>
      <c r="C788" s="1"/>
      <c r="D788" s="1"/>
      <c r="E788" s="1"/>
    </row>
    <row r="789" ht="15.75" customHeight="1">
      <c r="A789" s="1"/>
      <c r="B789" s="1"/>
      <c r="C789" s="1"/>
      <c r="D789" s="1"/>
      <c r="E789" s="1"/>
    </row>
    <row r="790" ht="15.75" customHeight="1">
      <c r="A790" s="1"/>
      <c r="B790" s="1"/>
      <c r="C790" s="1"/>
      <c r="D790" s="1"/>
      <c r="E790" s="1"/>
    </row>
    <row r="791" ht="15.75" customHeight="1">
      <c r="A791" s="1"/>
      <c r="B791" s="1"/>
      <c r="C791" s="1"/>
      <c r="D791" s="1"/>
      <c r="E791" s="1"/>
    </row>
    <row r="792" ht="15.75" customHeight="1">
      <c r="A792" s="1"/>
      <c r="B792" s="1"/>
      <c r="C792" s="1"/>
      <c r="D792" s="1"/>
      <c r="E792" s="1"/>
    </row>
    <row r="793" ht="15.75" customHeight="1">
      <c r="A793" s="1"/>
      <c r="B793" s="1"/>
      <c r="C793" s="1"/>
      <c r="D793" s="1"/>
      <c r="E793" s="1"/>
    </row>
    <row r="794" ht="15.75" customHeight="1">
      <c r="A794" s="1"/>
      <c r="B794" s="1"/>
      <c r="C794" s="1"/>
      <c r="D794" s="1"/>
      <c r="E794" s="1"/>
    </row>
    <row r="795" ht="15.75" customHeight="1">
      <c r="A795" s="1"/>
      <c r="B795" s="1"/>
      <c r="C795" s="1"/>
      <c r="D795" s="1"/>
      <c r="E795" s="1"/>
    </row>
    <row r="796" ht="15.75" customHeight="1">
      <c r="A796" s="1"/>
      <c r="B796" s="1"/>
      <c r="C796" s="1"/>
      <c r="D796" s="1"/>
      <c r="E796" s="1"/>
    </row>
    <row r="797" ht="15.75" customHeight="1">
      <c r="A797" s="1"/>
      <c r="B797" s="1"/>
      <c r="C797" s="1"/>
      <c r="D797" s="1"/>
      <c r="E797" s="1"/>
    </row>
    <row r="798" ht="15.75" customHeight="1">
      <c r="A798" s="1"/>
      <c r="B798" s="1"/>
      <c r="C798" s="1"/>
      <c r="D798" s="1"/>
      <c r="E798" s="1"/>
    </row>
    <row r="799" ht="15.75" customHeight="1">
      <c r="A799" s="1"/>
      <c r="B799" s="1"/>
      <c r="C799" s="1"/>
      <c r="D799" s="1"/>
      <c r="E799" s="1"/>
    </row>
    <row r="800" ht="15.75" customHeight="1">
      <c r="A800" s="1"/>
      <c r="B800" s="1"/>
      <c r="C800" s="1"/>
      <c r="D800" s="1"/>
      <c r="E800" s="1"/>
    </row>
    <row r="801" ht="15.75" customHeight="1">
      <c r="A801" s="1"/>
      <c r="B801" s="1"/>
      <c r="C801" s="1"/>
      <c r="D801" s="1"/>
      <c r="E801" s="1"/>
    </row>
    <row r="802" ht="15.75" customHeight="1">
      <c r="A802" s="1"/>
      <c r="B802" s="1"/>
      <c r="C802" s="1"/>
      <c r="D802" s="1"/>
      <c r="E802" s="1"/>
    </row>
    <row r="803" ht="15.75" customHeight="1">
      <c r="A803" s="1"/>
      <c r="B803" s="1"/>
      <c r="C803" s="1"/>
      <c r="D803" s="1"/>
      <c r="E803" s="1"/>
    </row>
    <row r="804" ht="15.75" customHeight="1">
      <c r="A804" s="1"/>
      <c r="B804" s="1"/>
      <c r="C804" s="1"/>
      <c r="D804" s="1"/>
      <c r="E804" s="1"/>
    </row>
    <row r="805" ht="15.75" customHeight="1">
      <c r="A805" s="1"/>
      <c r="B805" s="1"/>
      <c r="C805" s="1"/>
      <c r="D805" s="1"/>
      <c r="E805" s="1"/>
    </row>
    <row r="806" ht="15.75" customHeight="1">
      <c r="A806" s="1"/>
      <c r="B806" s="1"/>
      <c r="C806" s="1"/>
      <c r="D806" s="1"/>
      <c r="E806" s="1"/>
    </row>
    <row r="807" ht="15.75" customHeight="1">
      <c r="A807" s="1"/>
      <c r="B807" s="1"/>
      <c r="C807" s="1"/>
      <c r="D807" s="1"/>
      <c r="E807" s="1"/>
    </row>
    <row r="808" ht="15.75" customHeight="1">
      <c r="A808" s="1"/>
      <c r="B808" s="1"/>
      <c r="C808" s="1"/>
      <c r="D808" s="1"/>
      <c r="E808" s="1"/>
    </row>
    <row r="809" ht="15.75" customHeight="1">
      <c r="A809" s="1"/>
      <c r="B809" s="1"/>
      <c r="C809" s="1"/>
      <c r="D809" s="1"/>
      <c r="E809" s="1"/>
    </row>
    <row r="810" ht="15.75" customHeight="1">
      <c r="A810" s="1"/>
      <c r="B810" s="1"/>
      <c r="C810" s="1"/>
      <c r="D810" s="1"/>
      <c r="E810" s="1"/>
    </row>
    <row r="811" ht="15.75" customHeight="1">
      <c r="A811" s="1"/>
      <c r="B811" s="1"/>
      <c r="C811" s="1"/>
      <c r="D811" s="1"/>
      <c r="E811" s="1"/>
    </row>
    <row r="812" ht="15.75" customHeight="1">
      <c r="A812" s="1"/>
      <c r="B812" s="1"/>
      <c r="C812" s="1"/>
      <c r="D812" s="1"/>
      <c r="E812" s="1"/>
    </row>
    <row r="813" ht="15.75" customHeight="1">
      <c r="A813" s="1"/>
      <c r="B813" s="1"/>
      <c r="C813" s="1"/>
      <c r="D813" s="1"/>
      <c r="E813" s="1"/>
    </row>
    <row r="814" ht="15.75" customHeight="1">
      <c r="A814" s="1"/>
      <c r="B814" s="1"/>
      <c r="C814" s="1"/>
      <c r="D814" s="1"/>
      <c r="E814" s="1"/>
    </row>
    <row r="815" ht="15.75" customHeight="1">
      <c r="A815" s="1"/>
      <c r="B815" s="1"/>
      <c r="C815" s="1"/>
      <c r="D815" s="1"/>
      <c r="E815" s="1"/>
    </row>
    <row r="816" ht="15.75" customHeight="1">
      <c r="A816" s="1"/>
      <c r="B816" s="1"/>
      <c r="C816" s="1"/>
      <c r="D816" s="1"/>
      <c r="E816" s="1"/>
    </row>
    <row r="817" ht="15.75" customHeight="1">
      <c r="A817" s="1"/>
      <c r="B817" s="1"/>
      <c r="C817" s="1"/>
      <c r="D817" s="1"/>
      <c r="E817" s="1"/>
    </row>
    <row r="818" ht="15.75" customHeight="1">
      <c r="A818" s="1"/>
      <c r="B818" s="1"/>
      <c r="C818" s="1"/>
      <c r="D818" s="1"/>
      <c r="E818" s="1"/>
    </row>
    <row r="819" ht="15.75" customHeight="1">
      <c r="A819" s="1"/>
      <c r="B819" s="1"/>
      <c r="C819" s="1"/>
      <c r="D819" s="1"/>
      <c r="E819" s="1"/>
    </row>
    <row r="820" ht="15.75" customHeight="1">
      <c r="A820" s="1"/>
      <c r="B820" s="1"/>
      <c r="C820" s="1"/>
      <c r="D820" s="1"/>
      <c r="E820" s="1"/>
    </row>
    <row r="821" ht="15.75" customHeight="1">
      <c r="A821" s="1"/>
      <c r="B821" s="1"/>
      <c r="C821" s="1"/>
      <c r="D821" s="1"/>
      <c r="E821" s="1"/>
    </row>
    <row r="822" ht="15.75" customHeight="1">
      <c r="A822" s="1"/>
      <c r="B822" s="1"/>
      <c r="C822" s="1"/>
      <c r="D822" s="1"/>
      <c r="E822" s="1"/>
    </row>
    <row r="823" ht="15.75" customHeight="1">
      <c r="A823" s="1"/>
      <c r="B823" s="1"/>
      <c r="C823" s="1"/>
      <c r="D823" s="1"/>
      <c r="E823" s="1"/>
    </row>
    <row r="824" ht="15.75" customHeight="1">
      <c r="A824" s="1"/>
      <c r="B824" s="1"/>
      <c r="C824" s="1"/>
      <c r="D824" s="1"/>
      <c r="E824" s="1"/>
    </row>
    <row r="825" ht="15.75" customHeight="1">
      <c r="A825" s="1"/>
      <c r="B825" s="1"/>
      <c r="C825" s="1"/>
      <c r="D825" s="1"/>
      <c r="E825" s="1"/>
    </row>
    <row r="826" ht="15.75" customHeight="1">
      <c r="A826" s="1"/>
      <c r="B826" s="1"/>
      <c r="C826" s="1"/>
      <c r="D826" s="1"/>
      <c r="E826" s="1"/>
    </row>
    <row r="827" ht="15.75" customHeight="1">
      <c r="A827" s="1"/>
      <c r="B827" s="1"/>
      <c r="C827" s="1"/>
      <c r="D827" s="1"/>
      <c r="E827" s="1"/>
    </row>
    <row r="828" ht="15.75" customHeight="1">
      <c r="A828" s="1"/>
      <c r="B828" s="1"/>
      <c r="C828" s="1"/>
      <c r="D828" s="1"/>
      <c r="E828" s="1"/>
    </row>
    <row r="829" ht="15.75" customHeight="1">
      <c r="A829" s="1"/>
      <c r="B829" s="1"/>
      <c r="C829" s="1"/>
      <c r="D829" s="1"/>
      <c r="E829" s="1"/>
    </row>
    <row r="830" ht="15.75" customHeight="1">
      <c r="A830" s="1"/>
      <c r="B830" s="1"/>
      <c r="C830" s="1"/>
      <c r="D830" s="1"/>
      <c r="E830" s="1"/>
    </row>
    <row r="831" ht="15.75" customHeight="1">
      <c r="A831" s="1"/>
      <c r="B831" s="1"/>
      <c r="C831" s="1"/>
      <c r="D831" s="1"/>
      <c r="E831" s="1"/>
    </row>
    <row r="832" ht="15.75" customHeight="1">
      <c r="A832" s="1"/>
      <c r="B832" s="1"/>
      <c r="C832" s="1"/>
      <c r="D832" s="1"/>
      <c r="E832" s="1"/>
    </row>
    <row r="833" ht="15.75" customHeight="1">
      <c r="A833" s="1"/>
      <c r="B833" s="1"/>
      <c r="C833" s="1"/>
      <c r="D833" s="1"/>
      <c r="E833" s="1"/>
    </row>
    <row r="834" ht="15.75" customHeight="1">
      <c r="A834" s="1"/>
      <c r="B834" s="1"/>
      <c r="C834" s="1"/>
      <c r="D834" s="1"/>
      <c r="E834" s="1"/>
    </row>
    <row r="835" ht="15.75" customHeight="1">
      <c r="A835" s="1"/>
      <c r="B835" s="1"/>
      <c r="C835" s="1"/>
      <c r="D835" s="1"/>
      <c r="E835" s="1"/>
    </row>
    <row r="836" ht="15.75" customHeight="1">
      <c r="A836" s="1"/>
      <c r="B836" s="1"/>
      <c r="C836" s="1"/>
      <c r="D836" s="1"/>
      <c r="E836" s="1"/>
    </row>
    <row r="837" ht="15.75" customHeight="1">
      <c r="A837" s="1"/>
      <c r="B837" s="1"/>
      <c r="C837" s="1"/>
      <c r="D837" s="1"/>
      <c r="E837" s="1"/>
    </row>
    <row r="838" ht="15.75" customHeight="1">
      <c r="A838" s="1"/>
      <c r="B838" s="1"/>
      <c r="C838" s="1"/>
      <c r="D838" s="1"/>
      <c r="E838" s="1"/>
    </row>
    <row r="839" ht="15.75" customHeight="1">
      <c r="A839" s="1"/>
      <c r="B839" s="1"/>
      <c r="C839" s="1"/>
      <c r="D839" s="1"/>
      <c r="E839" s="1"/>
    </row>
    <row r="840" ht="15.75" customHeight="1">
      <c r="A840" s="1"/>
      <c r="B840" s="1"/>
      <c r="C840" s="1"/>
      <c r="D840" s="1"/>
      <c r="E840" s="1"/>
    </row>
    <row r="841" ht="15.75" customHeight="1">
      <c r="A841" s="1"/>
      <c r="B841" s="1"/>
      <c r="C841" s="1"/>
      <c r="D841" s="1"/>
      <c r="E841" s="1"/>
    </row>
    <row r="842" ht="15.75" customHeight="1">
      <c r="A842" s="1"/>
      <c r="B842" s="1"/>
      <c r="C842" s="1"/>
      <c r="D842" s="1"/>
      <c r="E842" s="1"/>
    </row>
    <row r="843" ht="15.75" customHeight="1">
      <c r="A843" s="1"/>
      <c r="B843" s="1"/>
      <c r="C843" s="1"/>
      <c r="D843" s="1"/>
      <c r="E843" s="1"/>
    </row>
    <row r="844" ht="15.75" customHeight="1">
      <c r="A844" s="1"/>
      <c r="B844" s="1"/>
      <c r="C844" s="1"/>
      <c r="D844" s="1"/>
      <c r="E844" s="1"/>
    </row>
    <row r="845" ht="15.75" customHeight="1">
      <c r="A845" s="1"/>
      <c r="B845" s="1"/>
      <c r="C845" s="1"/>
      <c r="D845" s="1"/>
      <c r="E845" s="1"/>
    </row>
    <row r="846" ht="15.75" customHeight="1">
      <c r="A846" s="1"/>
      <c r="B846" s="1"/>
      <c r="C846" s="1"/>
      <c r="D846" s="1"/>
      <c r="E846" s="1"/>
    </row>
    <row r="847" ht="15.75" customHeight="1">
      <c r="A847" s="1"/>
      <c r="B847" s="1"/>
      <c r="C847" s="1"/>
      <c r="D847" s="1"/>
      <c r="E847" s="1"/>
    </row>
    <row r="848" ht="15.75" customHeight="1">
      <c r="A848" s="1"/>
      <c r="B848" s="1"/>
      <c r="C848" s="1"/>
      <c r="D848" s="1"/>
      <c r="E848" s="1"/>
    </row>
    <row r="849" ht="15.75" customHeight="1">
      <c r="A849" s="1"/>
      <c r="B849" s="1"/>
      <c r="C849" s="1"/>
      <c r="D849" s="1"/>
      <c r="E849" s="1"/>
    </row>
    <row r="850" ht="15.75" customHeight="1">
      <c r="A850" s="1"/>
      <c r="B850" s="1"/>
      <c r="C850" s="1"/>
      <c r="D850" s="1"/>
      <c r="E850" s="1"/>
    </row>
    <row r="851" ht="15.75" customHeight="1">
      <c r="A851" s="1"/>
      <c r="B851" s="1"/>
      <c r="C851" s="1"/>
      <c r="D851" s="1"/>
      <c r="E851" s="1"/>
    </row>
    <row r="852" ht="15.75" customHeight="1">
      <c r="A852" s="1"/>
      <c r="B852" s="1"/>
      <c r="C852" s="1"/>
      <c r="D852" s="1"/>
      <c r="E852" s="1"/>
    </row>
    <row r="853" ht="15.75" customHeight="1">
      <c r="A853" s="1"/>
      <c r="B853" s="1"/>
      <c r="C853" s="1"/>
      <c r="D853" s="1"/>
      <c r="E853" s="1"/>
    </row>
    <row r="854" ht="15.75" customHeight="1">
      <c r="A854" s="1"/>
      <c r="B854" s="1"/>
      <c r="C854" s="1"/>
      <c r="D854" s="1"/>
      <c r="E854" s="1"/>
    </row>
    <row r="855" ht="15.75" customHeight="1">
      <c r="A855" s="1"/>
      <c r="B855" s="1"/>
      <c r="C855" s="1"/>
      <c r="D855" s="1"/>
      <c r="E855" s="1"/>
    </row>
    <row r="856" ht="15.75" customHeight="1">
      <c r="A856" s="1"/>
      <c r="B856" s="1"/>
      <c r="C856" s="1"/>
      <c r="D856" s="1"/>
      <c r="E856" s="1"/>
    </row>
    <row r="857" ht="15.75" customHeight="1">
      <c r="A857" s="1"/>
      <c r="B857" s="1"/>
      <c r="C857" s="1"/>
      <c r="D857" s="1"/>
      <c r="E857" s="1"/>
    </row>
    <row r="858" ht="15.75" customHeight="1">
      <c r="A858" s="1"/>
      <c r="B858" s="1"/>
      <c r="C858" s="1"/>
      <c r="D858" s="1"/>
      <c r="E858" s="1"/>
    </row>
    <row r="859" ht="15.75" customHeight="1">
      <c r="A859" s="1"/>
      <c r="B859" s="1"/>
      <c r="C859" s="1"/>
      <c r="D859" s="1"/>
      <c r="E859" s="1"/>
    </row>
    <row r="860" ht="15.75" customHeight="1">
      <c r="A860" s="1"/>
      <c r="B860" s="1"/>
      <c r="C860" s="1"/>
      <c r="D860" s="1"/>
      <c r="E860" s="1"/>
    </row>
    <row r="861" ht="15.75" customHeight="1">
      <c r="A861" s="1"/>
      <c r="B861" s="1"/>
      <c r="C861" s="1"/>
      <c r="D861" s="1"/>
      <c r="E861" s="1"/>
    </row>
    <row r="862" ht="15.75" customHeight="1">
      <c r="A862" s="1"/>
      <c r="B862" s="1"/>
      <c r="C862" s="1"/>
      <c r="D862" s="1"/>
      <c r="E862" s="1"/>
    </row>
    <row r="863" ht="15.75" customHeight="1">
      <c r="A863" s="1"/>
      <c r="B863" s="1"/>
      <c r="C863" s="1"/>
      <c r="D863" s="1"/>
      <c r="E863" s="1"/>
    </row>
    <row r="864" ht="15.75" customHeight="1">
      <c r="A864" s="1"/>
      <c r="B864" s="1"/>
      <c r="C864" s="1"/>
      <c r="D864" s="1"/>
      <c r="E864" s="1"/>
    </row>
    <row r="865" ht="15.75" customHeight="1">
      <c r="A865" s="1"/>
      <c r="B865" s="1"/>
      <c r="C865" s="1"/>
      <c r="D865" s="1"/>
      <c r="E865" s="1"/>
    </row>
    <row r="866" ht="15.75" customHeight="1">
      <c r="A866" s="1"/>
      <c r="B866" s="1"/>
      <c r="C866" s="1"/>
      <c r="D866" s="1"/>
      <c r="E866" s="1"/>
    </row>
    <row r="867" ht="15.75" customHeight="1">
      <c r="A867" s="1"/>
      <c r="B867" s="1"/>
      <c r="C867" s="1"/>
      <c r="D867" s="1"/>
      <c r="E867" s="1"/>
    </row>
    <row r="868" ht="15.75" customHeight="1">
      <c r="A868" s="1"/>
      <c r="B868" s="1"/>
      <c r="C868" s="1"/>
      <c r="D868" s="1"/>
      <c r="E868" s="1"/>
    </row>
    <row r="869" ht="15.75" customHeight="1">
      <c r="A869" s="1"/>
      <c r="B869" s="1"/>
      <c r="C869" s="1"/>
      <c r="D869" s="1"/>
      <c r="E869" s="1"/>
    </row>
    <row r="870" ht="15.75" customHeight="1">
      <c r="A870" s="1"/>
      <c r="B870" s="1"/>
      <c r="C870" s="1"/>
      <c r="D870" s="1"/>
      <c r="E870" s="1"/>
    </row>
    <row r="871" ht="15.75" customHeight="1">
      <c r="A871" s="1"/>
      <c r="B871" s="1"/>
      <c r="C871" s="1"/>
      <c r="D871" s="1"/>
      <c r="E871" s="1"/>
    </row>
    <row r="872" ht="15.75" customHeight="1">
      <c r="A872" s="1"/>
      <c r="B872" s="1"/>
      <c r="C872" s="1"/>
      <c r="D872" s="1"/>
      <c r="E872" s="1"/>
    </row>
    <row r="873" ht="15.75" customHeight="1">
      <c r="A873" s="1"/>
      <c r="B873" s="1"/>
      <c r="C873" s="1"/>
      <c r="D873" s="1"/>
      <c r="E873" s="1"/>
    </row>
    <row r="874" ht="15.75" customHeight="1">
      <c r="A874" s="1"/>
      <c r="B874" s="1"/>
      <c r="C874" s="1"/>
      <c r="D874" s="1"/>
      <c r="E874" s="1"/>
    </row>
    <row r="875" ht="15.75" customHeight="1">
      <c r="A875" s="1"/>
      <c r="B875" s="1"/>
      <c r="C875" s="1"/>
      <c r="D875" s="1"/>
      <c r="E875" s="1"/>
    </row>
    <row r="876" ht="15.75" customHeight="1">
      <c r="A876" s="1"/>
      <c r="B876" s="1"/>
      <c r="C876" s="1"/>
      <c r="D876" s="1"/>
      <c r="E876" s="1"/>
    </row>
    <row r="877" ht="15.75" customHeight="1">
      <c r="A877" s="1"/>
      <c r="B877" s="1"/>
      <c r="C877" s="1"/>
      <c r="D877" s="1"/>
      <c r="E877" s="1"/>
    </row>
    <row r="878" ht="15.75" customHeight="1">
      <c r="A878" s="1"/>
      <c r="B878" s="1"/>
      <c r="C878" s="1"/>
      <c r="D878" s="1"/>
      <c r="E878" s="1"/>
    </row>
    <row r="879" ht="15.75" customHeight="1">
      <c r="A879" s="1"/>
      <c r="B879" s="1"/>
      <c r="C879" s="1"/>
      <c r="D879" s="1"/>
      <c r="E879" s="1"/>
    </row>
    <row r="880" ht="15.75" customHeight="1">
      <c r="A880" s="1"/>
      <c r="B880" s="1"/>
      <c r="C880" s="1"/>
      <c r="D880" s="1"/>
      <c r="E880" s="1"/>
    </row>
    <row r="881" ht="15.75" customHeight="1">
      <c r="A881" s="1"/>
      <c r="B881" s="1"/>
      <c r="C881" s="1"/>
      <c r="D881" s="1"/>
      <c r="E881" s="1"/>
    </row>
    <row r="882" ht="15.75" customHeight="1">
      <c r="A882" s="1"/>
      <c r="B882" s="1"/>
      <c r="C882" s="1"/>
      <c r="D882" s="1"/>
      <c r="E882" s="1"/>
    </row>
    <row r="883" ht="15.75" customHeight="1">
      <c r="A883" s="1"/>
      <c r="B883" s="1"/>
      <c r="C883" s="1"/>
      <c r="D883" s="1"/>
      <c r="E883" s="1"/>
    </row>
    <row r="884" ht="15.75" customHeight="1">
      <c r="A884" s="1"/>
      <c r="B884" s="1"/>
      <c r="C884" s="1"/>
      <c r="D884" s="1"/>
      <c r="E884" s="1"/>
    </row>
    <row r="885" ht="15.75" customHeight="1">
      <c r="A885" s="1"/>
      <c r="B885" s="1"/>
      <c r="C885" s="1"/>
      <c r="D885" s="1"/>
      <c r="E885" s="1"/>
    </row>
    <row r="886" ht="15.75" customHeight="1">
      <c r="A886" s="1"/>
      <c r="B886" s="1"/>
      <c r="C886" s="1"/>
      <c r="D886" s="1"/>
      <c r="E886" s="1"/>
    </row>
    <row r="887" ht="15.75" customHeight="1">
      <c r="A887" s="1"/>
      <c r="B887" s="1"/>
      <c r="C887" s="1"/>
      <c r="D887" s="1"/>
      <c r="E887" s="1"/>
    </row>
    <row r="888" ht="15.75" customHeight="1">
      <c r="A888" s="1"/>
      <c r="B888" s="1"/>
      <c r="C888" s="1"/>
      <c r="D888" s="1"/>
      <c r="E888" s="1"/>
    </row>
    <row r="889" ht="15.75" customHeight="1">
      <c r="A889" s="1"/>
      <c r="B889" s="1"/>
      <c r="C889" s="1"/>
      <c r="D889" s="1"/>
      <c r="E889" s="1"/>
    </row>
    <row r="890" ht="15.75" customHeight="1">
      <c r="A890" s="1"/>
      <c r="B890" s="1"/>
      <c r="C890" s="1"/>
      <c r="D890" s="1"/>
      <c r="E890" s="1"/>
    </row>
    <row r="891" ht="15.75" customHeight="1">
      <c r="A891" s="1"/>
      <c r="B891" s="1"/>
      <c r="C891" s="1"/>
      <c r="D891" s="1"/>
      <c r="E891" s="1"/>
    </row>
    <row r="892" ht="15.75" customHeight="1">
      <c r="A892" s="1"/>
      <c r="B892" s="1"/>
      <c r="C892" s="1"/>
      <c r="D892" s="1"/>
      <c r="E892" s="1"/>
    </row>
    <row r="893" ht="15.75" customHeight="1">
      <c r="A893" s="1"/>
      <c r="B893" s="1"/>
      <c r="C893" s="1"/>
      <c r="D893" s="1"/>
      <c r="E893" s="1"/>
    </row>
    <row r="894" ht="15.75" customHeight="1">
      <c r="A894" s="1"/>
      <c r="B894" s="1"/>
      <c r="C894" s="1"/>
      <c r="D894" s="1"/>
      <c r="E894" s="1"/>
    </row>
    <row r="895" ht="15.75" customHeight="1">
      <c r="A895" s="1"/>
      <c r="B895" s="1"/>
      <c r="C895" s="1"/>
      <c r="D895" s="1"/>
      <c r="E895" s="1"/>
    </row>
    <row r="896" ht="15.75" customHeight="1">
      <c r="A896" s="1"/>
      <c r="B896" s="1"/>
      <c r="C896" s="1"/>
      <c r="D896" s="1"/>
      <c r="E896" s="1"/>
    </row>
    <row r="897" ht="15.75" customHeight="1">
      <c r="A897" s="1"/>
      <c r="B897" s="1"/>
      <c r="C897" s="1"/>
      <c r="D897" s="1"/>
      <c r="E897" s="1"/>
    </row>
    <row r="898" ht="15.75" customHeight="1">
      <c r="A898" s="1"/>
      <c r="B898" s="1"/>
      <c r="C898" s="1"/>
      <c r="D898" s="1"/>
      <c r="E898" s="1"/>
    </row>
    <row r="899" ht="15.75" customHeight="1">
      <c r="A899" s="1"/>
      <c r="B899" s="1"/>
      <c r="C899" s="1"/>
      <c r="D899" s="1"/>
      <c r="E899" s="1"/>
    </row>
    <row r="900" ht="15.75" customHeight="1">
      <c r="A900" s="1"/>
      <c r="B900" s="1"/>
      <c r="C900" s="1"/>
      <c r="D900" s="1"/>
      <c r="E900" s="1"/>
    </row>
    <row r="901" ht="15.75" customHeight="1">
      <c r="A901" s="1"/>
      <c r="B901" s="1"/>
      <c r="C901" s="1"/>
      <c r="D901" s="1"/>
      <c r="E901" s="1"/>
    </row>
    <row r="902" ht="15.75" customHeight="1">
      <c r="A902" s="1"/>
      <c r="B902" s="1"/>
      <c r="C902" s="1"/>
      <c r="D902" s="1"/>
      <c r="E902" s="1"/>
    </row>
    <row r="903" ht="15.75" customHeight="1">
      <c r="A903" s="1"/>
      <c r="B903" s="1"/>
      <c r="C903" s="1"/>
      <c r="D903" s="1"/>
      <c r="E903" s="1"/>
    </row>
    <row r="904" ht="15.75" customHeight="1">
      <c r="A904" s="1"/>
      <c r="B904" s="1"/>
      <c r="C904" s="1"/>
      <c r="D904" s="1"/>
      <c r="E904" s="1"/>
    </row>
    <row r="905" ht="15.75" customHeight="1">
      <c r="A905" s="1"/>
      <c r="B905" s="1"/>
      <c r="C905" s="1"/>
      <c r="D905" s="1"/>
      <c r="E905" s="1"/>
    </row>
    <row r="906" ht="15.75" customHeight="1">
      <c r="A906" s="1"/>
      <c r="B906" s="1"/>
      <c r="C906" s="1"/>
      <c r="D906" s="1"/>
      <c r="E906" s="1"/>
    </row>
    <row r="907" ht="15.75" customHeight="1">
      <c r="A907" s="1"/>
      <c r="B907" s="1"/>
      <c r="C907" s="1"/>
      <c r="D907" s="1"/>
      <c r="E907" s="1"/>
    </row>
    <row r="908" ht="15.75" customHeight="1">
      <c r="A908" s="1"/>
      <c r="B908" s="1"/>
      <c r="C908" s="1"/>
      <c r="D908" s="1"/>
      <c r="E908" s="1"/>
    </row>
    <row r="909" ht="15.75" customHeight="1">
      <c r="A909" s="1"/>
      <c r="B909" s="1"/>
      <c r="C909" s="1"/>
      <c r="D909" s="1"/>
      <c r="E909" s="1"/>
    </row>
    <row r="910" ht="15.75" customHeight="1">
      <c r="A910" s="1"/>
      <c r="B910" s="1"/>
      <c r="C910" s="1"/>
      <c r="D910" s="1"/>
      <c r="E910" s="1"/>
    </row>
    <row r="911" ht="15.75" customHeight="1">
      <c r="A911" s="1"/>
      <c r="B911" s="1"/>
      <c r="C911" s="1"/>
      <c r="D911" s="1"/>
      <c r="E911" s="1"/>
    </row>
    <row r="912" ht="15.75" customHeight="1">
      <c r="A912" s="1"/>
      <c r="B912" s="1"/>
      <c r="C912" s="1"/>
      <c r="D912" s="1"/>
      <c r="E912" s="1"/>
    </row>
    <row r="913" ht="15.75" customHeight="1">
      <c r="A913" s="1"/>
      <c r="B913" s="1"/>
      <c r="C913" s="1"/>
      <c r="D913" s="1"/>
      <c r="E913" s="1"/>
    </row>
    <row r="914" ht="15.75" customHeight="1">
      <c r="A914" s="1"/>
      <c r="B914" s="1"/>
      <c r="C914" s="1"/>
      <c r="D914" s="1"/>
      <c r="E914" s="1"/>
    </row>
    <row r="915" ht="15.75" customHeight="1">
      <c r="A915" s="1"/>
      <c r="B915" s="1"/>
      <c r="C915" s="1"/>
      <c r="D915" s="1"/>
      <c r="E915" s="1"/>
    </row>
    <row r="916" ht="15.75" customHeight="1">
      <c r="A916" s="1"/>
      <c r="B916" s="1"/>
      <c r="C916" s="1"/>
      <c r="D916" s="1"/>
      <c r="E916" s="1"/>
    </row>
    <row r="917" ht="15.75" customHeight="1">
      <c r="A917" s="1"/>
      <c r="B917" s="1"/>
      <c r="C917" s="1"/>
      <c r="D917" s="1"/>
      <c r="E917" s="1"/>
    </row>
    <row r="918" ht="15.75" customHeight="1">
      <c r="A918" s="1"/>
      <c r="B918" s="1"/>
      <c r="C918" s="1"/>
      <c r="D918" s="1"/>
      <c r="E918" s="1"/>
    </row>
    <row r="919" ht="15.75" customHeight="1">
      <c r="A919" s="1"/>
      <c r="B919" s="1"/>
      <c r="C919" s="1"/>
      <c r="D919" s="1"/>
      <c r="E919" s="1"/>
    </row>
    <row r="920" ht="15.75" customHeight="1">
      <c r="A920" s="1"/>
      <c r="B920" s="1"/>
      <c r="C920" s="1"/>
      <c r="D920" s="1"/>
      <c r="E920" s="1"/>
    </row>
    <row r="921" ht="15.75" customHeight="1">
      <c r="A921" s="1"/>
      <c r="B921" s="1"/>
      <c r="C921" s="1"/>
      <c r="D921" s="1"/>
      <c r="E921" s="1"/>
    </row>
    <row r="922" ht="15.75" customHeight="1">
      <c r="A922" s="1"/>
      <c r="B922" s="1"/>
      <c r="C922" s="1"/>
      <c r="D922" s="1"/>
      <c r="E922" s="1"/>
    </row>
    <row r="923" ht="15.75" customHeight="1">
      <c r="A923" s="1"/>
      <c r="B923" s="1"/>
      <c r="C923" s="1"/>
      <c r="D923" s="1"/>
      <c r="E923" s="1"/>
    </row>
    <row r="924" ht="15.75" customHeight="1">
      <c r="A924" s="1"/>
      <c r="B924" s="1"/>
      <c r="C924" s="1"/>
      <c r="D924" s="1"/>
      <c r="E924" s="1"/>
    </row>
    <row r="925" ht="15.75" customHeight="1">
      <c r="A925" s="1"/>
      <c r="B925" s="1"/>
      <c r="C925" s="1"/>
      <c r="D925" s="1"/>
      <c r="E925" s="1"/>
    </row>
    <row r="926" ht="15.75" customHeight="1">
      <c r="A926" s="1"/>
      <c r="B926" s="1"/>
      <c r="C926" s="1"/>
      <c r="D926" s="1"/>
      <c r="E926" s="1"/>
    </row>
    <row r="927" ht="15.75" customHeight="1">
      <c r="A927" s="1"/>
      <c r="B927" s="1"/>
      <c r="C927" s="1"/>
      <c r="D927" s="1"/>
      <c r="E927" s="1"/>
    </row>
    <row r="928" ht="15.75" customHeight="1">
      <c r="A928" s="1"/>
      <c r="B928" s="1"/>
      <c r="C928" s="1"/>
      <c r="D928" s="1"/>
      <c r="E928" s="1"/>
    </row>
    <row r="929" ht="15.75" customHeight="1">
      <c r="A929" s="1"/>
      <c r="B929" s="1"/>
      <c r="C929" s="1"/>
      <c r="D929" s="1"/>
      <c r="E929" s="1"/>
    </row>
    <row r="930" ht="15.75" customHeight="1">
      <c r="A930" s="1"/>
      <c r="B930" s="1"/>
      <c r="C930" s="1"/>
      <c r="D930" s="1"/>
      <c r="E930" s="1"/>
    </row>
    <row r="931" ht="15.75" customHeight="1">
      <c r="A931" s="1"/>
      <c r="B931" s="1"/>
      <c r="C931" s="1"/>
      <c r="D931" s="1"/>
      <c r="E931" s="1"/>
    </row>
    <row r="932" ht="15.75" customHeight="1">
      <c r="A932" s="1"/>
      <c r="B932" s="1"/>
      <c r="C932" s="1"/>
      <c r="D932" s="1"/>
      <c r="E932" s="1"/>
    </row>
    <row r="933" ht="15.75" customHeight="1">
      <c r="A933" s="1"/>
      <c r="B933" s="1"/>
      <c r="C933" s="1"/>
      <c r="D933" s="1"/>
      <c r="E933" s="1"/>
    </row>
    <row r="934" ht="15.75" customHeight="1">
      <c r="A934" s="1"/>
      <c r="B934" s="1"/>
      <c r="C934" s="1"/>
      <c r="D934" s="1"/>
      <c r="E934" s="1"/>
    </row>
    <row r="935" ht="15.75" customHeight="1">
      <c r="A935" s="1"/>
      <c r="B935" s="1"/>
      <c r="C935" s="1"/>
      <c r="D935" s="1"/>
      <c r="E935" s="1"/>
    </row>
    <row r="936" ht="15.75" customHeight="1">
      <c r="A936" s="1"/>
      <c r="B936" s="1"/>
      <c r="C936" s="1"/>
      <c r="D936" s="1"/>
      <c r="E936" s="1"/>
    </row>
    <row r="937" ht="15.75" customHeight="1">
      <c r="A937" s="1"/>
      <c r="B937" s="1"/>
      <c r="C937" s="1"/>
      <c r="D937" s="1"/>
      <c r="E937" s="1"/>
    </row>
    <row r="938" ht="15.75" customHeight="1">
      <c r="A938" s="1"/>
      <c r="B938" s="1"/>
      <c r="C938" s="1"/>
      <c r="D938" s="1"/>
      <c r="E938" s="1"/>
    </row>
    <row r="939" ht="15.75" customHeight="1">
      <c r="A939" s="1"/>
      <c r="B939" s="1"/>
      <c r="C939" s="1"/>
      <c r="D939" s="1"/>
      <c r="E939" s="1"/>
    </row>
    <row r="940" ht="15.75" customHeight="1">
      <c r="A940" s="1"/>
      <c r="B940" s="1"/>
      <c r="C940" s="1"/>
      <c r="D940" s="1"/>
      <c r="E940" s="1"/>
    </row>
    <row r="941" ht="15.75" customHeight="1">
      <c r="A941" s="1"/>
      <c r="B941" s="1"/>
      <c r="C941" s="1"/>
      <c r="D941" s="1"/>
      <c r="E941" s="1"/>
    </row>
    <row r="942" ht="15.75" customHeight="1">
      <c r="A942" s="1"/>
      <c r="B942" s="1"/>
      <c r="C942" s="1"/>
      <c r="D942" s="1"/>
      <c r="E942" s="1"/>
    </row>
    <row r="943" ht="15.75" customHeight="1">
      <c r="A943" s="1"/>
      <c r="B943" s="1"/>
      <c r="C943" s="1"/>
      <c r="D943" s="1"/>
      <c r="E943" s="1"/>
    </row>
    <row r="944" ht="15.75" customHeight="1">
      <c r="A944" s="1"/>
      <c r="B944" s="1"/>
      <c r="C944" s="1"/>
      <c r="D944" s="1"/>
      <c r="E944" s="1"/>
    </row>
    <row r="945" ht="15.75" customHeight="1">
      <c r="A945" s="1"/>
      <c r="B945" s="1"/>
      <c r="C945" s="1"/>
      <c r="D945" s="1"/>
      <c r="E945" s="1"/>
    </row>
    <row r="946" ht="15.75" customHeight="1">
      <c r="A946" s="1"/>
      <c r="B946" s="1"/>
      <c r="C946" s="1"/>
      <c r="D946" s="1"/>
      <c r="E946" s="1"/>
    </row>
    <row r="947" ht="15.75" customHeight="1">
      <c r="A947" s="1"/>
      <c r="B947" s="1"/>
      <c r="C947" s="1"/>
      <c r="D947" s="1"/>
      <c r="E947" s="1"/>
    </row>
    <row r="948" ht="15.75" customHeight="1">
      <c r="A948" s="1"/>
      <c r="B948" s="1"/>
      <c r="C948" s="1"/>
      <c r="D948" s="1"/>
      <c r="E948" s="1"/>
    </row>
    <row r="949" ht="15.75" customHeight="1">
      <c r="A949" s="1"/>
      <c r="B949" s="1"/>
      <c r="C949" s="1"/>
      <c r="D949" s="1"/>
      <c r="E949" s="1"/>
    </row>
    <row r="950" ht="15.75" customHeight="1">
      <c r="A950" s="1"/>
      <c r="B950" s="1"/>
      <c r="C950" s="1"/>
      <c r="D950" s="1"/>
      <c r="E950" s="1"/>
    </row>
    <row r="951" ht="15.75" customHeight="1">
      <c r="A951" s="1"/>
      <c r="B951" s="1"/>
      <c r="C951" s="1"/>
      <c r="D951" s="1"/>
      <c r="E951" s="1"/>
    </row>
    <row r="952" ht="15.75" customHeight="1">
      <c r="A952" s="1"/>
      <c r="B952" s="1"/>
      <c r="C952" s="1"/>
      <c r="D952" s="1"/>
      <c r="E952" s="1"/>
    </row>
    <row r="953" ht="15.75" customHeight="1">
      <c r="A953" s="1"/>
      <c r="B953" s="1"/>
      <c r="C953" s="1"/>
      <c r="D953" s="1"/>
      <c r="E953" s="1"/>
    </row>
    <row r="954" ht="15.75" customHeight="1">
      <c r="A954" s="1"/>
      <c r="B954" s="1"/>
      <c r="C954" s="1"/>
      <c r="D954" s="1"/>
      <c r="E954" s="1"/>
    </row>
    <row r="955" ht="15.75" customHeight="1">
      <c r="A955" s="1"/>
      <c r="B955" s="1"/>
      <c r="C955" s="1"/>
      <c r="D955" s="1"/>
      <c r="E955" s="1"/>
    </row>
    <row r="956" ht="15.75" customHeight="1">
      <c r="A956" s="1"/>
      <c r="B956" s="1"/>
      <c r="C956" s="1"/>
      <c r="D956" s="1"/>
      <c r="E956" s="1"/>
    </row>
    <row r="957" ht="15.75" customHeight="1">
      <c r="A957" s="1"/>
      <c r="B957" s="1"/>
      <c r="C957" s="1"/>
      <c r="D957" s="1"/>
      <c r="E957" s="1"/>
    </row>
    <row r="958" ht="15.75" customHeight="1">
      <c r="A958" s="1"/>
      <c r="B958" s="1"/>
      <c r="C958" s="1"/>
      <c r="D958" s="1"/>
      <c r="E958" s="1"/>
    </row>
    <row r="959" ht="15.75" customHeight="1">
      <c r="A959" s="1"/>
      <c r="B959" s="1"/>
      <c r="C959" s="1"/>
      <c r="D959" s="1"/>
      <c r="E959" s="1"/>
    </row>
    <row r="960" ht="15.75" customHeight="1">
      <c r="A960" s="1"/>
      <c r="B960" s="1"/>
      <c r="C960" s="1"/>
      <c r="D960" s="1"/>
      <c r="E960" s="1"/>
    </row>
    <row r="961" ht="15.75" customHeight="1">
      <c r="A961" s="1"/>
      <c r="B961" s="1"/>
      <c r="C961" s="1"/>
      <c r="D961" s="1"/>
      <c r="E961" s="1"/>
    </row>
    <row r="962" ht="15.75" customHeight="1">
      <c r="A962" s="1"/>
      <c r="B962" s="1"/>
      <c r="C962" s="1"/>
      <c r="D962" s="1"/>
      <c r="E962" s="1"/>
    </row>
    <row r="963" ht="15.75" customHeight="1">
      <c r="A963" s="1"/>
      <c r="B963" s="1"/>
      <c r="C963" s="1"/>
      <c r="D963" s="1"/>
      <c r="E963" s="1"/>
    </row>
    <row r="964" ht="15.75" customHeight="1">
      <c r="A964" s="1"/>
      <c r="B964" s="1"/>
      <c r="C964" s="1"/>
      <c r="D964" s="1"/>
      <c r="E964" s="1"/>
    </row>
    <row r="965" ht="15.75" customHeight="1">
      <c r="A965" s="1"/>
      <c r="B965" s="1"/>
      <c r="C965" s="1"/>
      <c r="D965" s="1"/>
      <c r="E965" s="1"/>
    </row>
    <row r="966" ht="15.75" customHeight="1">
      <c r="A966" s="1"/>
      <c r="B966" s="1"/>
      <c r="C966" s="1"/>
      <c r="D966" s="1"/>
      <c r="E966" s="1"/>
    </row>
    <row r="967" ht="15.75" customHeight="1">
      <c r="A967" s="1"/>
      <c r="B967" s="1"/>
      <c r="C967" s="1"/>
      <c r="D967" s="1"/>
      <c r="E967" s="1"/>
    </row>
    <row r="968" ht="15.75" customHeight="1">
      <c r="A968" s="1"/>
      <c r="B968" s="1"/>
      <c r="C968" s="1"/>
      <c r="D968" s="1"/>
      <c r="E968" s="1"/>
    </row>
    <row r="969" ht="15.75" customHeight="1">
      <c r="A969" s="1"/>
      <c r="B969" s="1"/>
      <c r="C969" s="1"/>
      <c r="D969" s="1"/>
      <c r="E969" s="1"/>
    </row>
    <row r="970" ht="15.75" customHeight="1">
      <c r="A970" s="1"/>
      <c r="B970" s="1"/>
      <c r="C970" s="1"/>
      <c r="D970" s="1"/>
      <c r="E970" s="1"/>
    </row>
    <row r="971" ht="15.75" customHeight="1">
      <c r="A971" s="1"/>
      <c r="B971" s="1"/>
      <c r="C971" s="1"/>
      <c r="D971" s="1"/>
      <c r="E971" s="1"/>
    </row>
    <row r="972" ht="15.75" customHeight="1">
      <c r="A972" s="1"/>
      <c r="B972" s="1"/>
      <c r="C972" s="1"/>
      <c r="D972" s="1"/>
      <c r="E972" s="1"/>
    </row>
    <row r="973" ht="15.75" customHeight="1">
      <c r="A973" s="1"/>
      <c r="B973" s="1"/>
      <c r="C973" s="1"/>
      <c r="D973" s="1"/>
      <c r="E973" s="1"/>
    </row>
    <row r="974" ht="15.75" customHeight="1">
      <c r="A974" s="1"/>
      <c r="B974" s="1"/>
      <c r="C974" s="1"/>
      <c r="D974" s="1"/>
      <c r="E974" s="1"/>
    </row>
    <row r="975" ht="15.75" customHeight="1">
      <c r="A975" s="1"/>
      <c r="B975" s="1"/>
      <c r="C975" s="1"/>
      <c r="D975" s="1"/>
      <c r="E975" s="1"/>
    </row>
    <row r="976" ht="15.75" customHeight="1">
      <c r="A976" s="1"/>
      <c r="B976" s="1"/>
      <c r="C976" s="1"/>
      <c r="D976" s="1"/>
      <c r="E976" s="1"/>
    </row>
    <row r="977" ht="15.75" customHeight="1">
      <c r="A977" s="1"/>
      <c r="B977" s="1"/>
      <c r="C977" s="1"/>
      <c r="D977" s="1"/>
      <c r="E977" s="1"/>
    </row>
    <row r="978" ht="15.75" customHeight="1">
      <c r="A978" s="1"/>
      <c r="B978" s="1"/>
      <c r="C978" s="1"/>
      <c r="D978" s="1"/>
      <c r="E978" s="1"/>
    </row>
    <row r="979" ht="15.75" customHeight="1">
      <c r="A979" s="1"/>
      <c r="B979" s="1"/>
      <c r="C979" s="1"/>
      <c r="D979" s="1"/>
      <c r="E979" s="1"/>
    </row>
    <row r="980" ht="15.75" customHeight="1">
      <c r="A980" s="1"/>
      <c r="B980" s="1"/>
      <c r="C980" s="1"/>
      <c r="D980" s="1"/>
      <c r="E980" s="1"/>
    </row>
    <row r="981" ht="15.75" customHeight="1">
      <c r="A981" s="1"/>
      <c r="B981" s="1"/>
      <c r="C981" s="1"/>
      <c r="D981" s="1"/>
      <c r="E981" s="1"/>
    </row>
    <row r="982" ht="15.75" customHeight="1">
      <c r="A982" s="1"/>
      <c r="B982" s="1"/>
      <c r="C982" s="1"/>
      <c r="D982" s="1"/>
      <c r="E982" s="1"/>
    </row>
    <row r="983" ht="15.75" customHeight="1">
      <c r="A983" s="1"/>
      <c r="B983" s="1"/>
      <c r="C983" s="1"/>
      <c r="D983" s="1"/>
      <c r="E983" s="1"/>
    </row>
    <row r="984" ht="15.75" customHeight="1">
      <c r="A984" s="1"/>
      <c r="B984" s="1"/>
      <c r="C984" s="1"/>
      <c r="D984" s="1"/>
      <c r="E984" s="1"/>
    </row>
    <row r="985" ht="15.75" customHeight="1">
      <c r="A985" s="1"/>
      <c r="B985" s="1"/>
      <c r="C985" s="1"/>
      <c r="D985" s="1"/>
      <c r="E985" s="1"/>
    </row>
    <row r="986" ht="15.75" customHeight="1">
      <c r="A986" s="1"/>
      <c r="B986" s="1"/>
      <c r="C986" s="1"/>
      <c r="D986" s="1"/>
      <c r="E986" s="1"/>
    </row>
    <row r="987" ht="15.75" customHeight="1">
      <c r="A987" s="1"/>
      <c r="B987" s="1"/>
      <c r="C987" s="1"/>
      <c r="D987" s="1"/>
      <c r="E987" s="1"/>
    </row>
    <row r="988" ht="15.75" customHeight="1">
      <c r="A988" s="1"/>
      <c r="B988" s="1"/>
      <c r="C988" s="1"/>
      <c r="D988" s="1"/>
      <c r="E988" s="1"/>
    </row>
    <row r="989" ht="15.75" customHeight="1">
      <c r="A989" s="1"/>
      <c r="B989" s="1"/>
      <c r="C989" s="1"/>
      <c r="D989" s="1"/>
      <c r="E989" s="1"/>
    </row>
    <row r="990" ht="15.75" customHeight="1">
      <c r="A990" s="1"/>
      <c r="B990" s="1"/>
      <c r="C990" s="1"/>
      <c r="D990" s="1"/>
      <c r="E990" s="1"/>
    </row>
    <row r="991" ht="15.75" customHeight="1">
      <c r="A991" s="1"/>
      <c r="B991" s="1"/>
      <c r="C991" s="1"/>
      <c r="D991" s="1"/>
      <c r="E991" s="1"/>
    </row>
    <row r="992" ht="15.75" customHeight="1">
      <c r="A992" s="1"/>
      <c r="B992" s="1"/>
      <c r="C992" s="1"/>
      <c r="D992" s="1"/>
      <c r="E992" s="1"/>
    </row>
    <row r="993" ht="15.75" customHeight="1">
      <c r="A993" s="1"/>
      <c r="B993" s="1"/>
      <c r="C993" s="1"/>
      <c r="D993" s="1"/>
      <c r="E993" s="1"/>
    </row>
    <row r="994" ht="15.75" customHeight="1">
      <c r="A994" s="1"/>
      <c r="B994" s="1"/>
      <c r="C994" s="1"/>
      <c r="D994" s="1"/>
      <c r="E994" s="1"/>
    </row>
    <row r="995" ht="15.75" customHeight="1">
      <c r="A995" s="1"/>
      <c r="B995" s="1"/>
      <c r="C995" s="1"/>
      <c r="D995" s="1"/>
      <c r="E995" s="1"/>
    </row>
    <row r="996" ht="15.75" customHeight="1">
      <c r="A996" s="1"/>
      <c r="B996" s="1"/>
      <c r="C996" s="1"/>
      <c r="D996" s="1"/>
      <c r="E996" s="1"/>
    </row>
    <row r="997" ht="15.75" customHeight="1">
      <c r="A997" s="1"/>
      <c r="B997" s="1"/>
      <c r="C997" s="1"/>
      <c r="D997" s="1"/>
      <c r="E997" s="1"/>
    </row>
    <row r="998" ht="15.75" customHeight="1">
      <c r="A998" s="1"/>
      <c r="B998" s="1"/>
      <c r="C998" s="1"/>
      <c r="D998" s="1"/>
      <c r="E998" s="1"/>
    </row>
    <row r="999" ht="15.75" customHeight="1">
      <c r="A999" s="1"/>
      <c r="B999" s="1"/>
      <c r="C999" s="1"/>
      <c r="D999" s="1"/>
      <c r="E999" s="1"/>
    </row>
    <row r="1000" ht="15.75" customHeight="1">
      <c r="A1000" s="1"/>
      <c r="B1000" s="1"/>
      <c r="C1000" s="1"/>
      <c r="D1000" s="1"/>
      <c r="E1000" s="1"/>
    </row>
    <row r="1001" ht="15.75" customHeight="1">
      <c r="A1001" s="1"/>
      <c r="B1001" s="1"/>
      <c r="C1001" s="1"/>
      <c r="D1001" s="1"/>
      <c r="E1001" s="1"/>
    </row>
  </sheetData>
  <mergeCells count="2">
    <mergeCell ref="B2:E2"/>
    <mergeCell ref="B10:E10"/>
  </mergeCells>
  <printOptions/>
  <pageMargins bottom="1.0" footer="0.0" header="0.0" left="0.75" right="0.75" top="1.0"/>
  <pageSetup paperSize="9" orientation="portrait"/>
  <drawing r:id="rId1"/>
</worksheet>
</file>